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6a66391b1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9c2c92bff34e73"/>
    <x:sheet xmlns:r="http://schemas.openxmlformats.org/officeDocument/2006/relationships" name="Evidence_to_Campaign" sheetId="2" r:id="Ree6042422d394f7c"/>
    <x:sheet xmlns:r="http://schemas.openxmlformats.org/officeDocument/2006/relationships" name="Coded_Comments" sheetId="3" r:id="R4678ab75f5e14d69"/>
    <x:sheet xmlns:r="http://schemas.openxmlformats.org/officeDocument/2006/relationships" name="Posts" sheetId="4" r:id="R6bf7dcc0de7b4d43"/>
    <x:sheet xmlns:r="http://schemas.openxmlformats.org/officeDocument/2006/relationships" name="Raw_Comments" sheetId="5" r:id="Rdcafda0ed91a4fdf"/>
    <x:sheet xmlns:r="http://schemas.openxmlformats.org/officeDocument/2006/relationships" name="Codebook" sheetId="6" r:id="R1c5ab7dc92864b4b"/>
    <x:sheet xmlns:r="http://schemas.openxmlformats.org/officeDocument/2006/relationships" name="Interview" sheetId="7" r:id="R540c6b5c7c434daf"/>
    <x:sheet xmlns:r="http://schemas.openxmlformats.org/officeDocument/2006/relationships" name="README" sheetId="8" r:id="Rd256ba396436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5212A"/>
      <x:name val="Arial"/>
    </x:font>
    <x:font>
      <x:b/>
      <x:sz val="10"/>
      <x:color rgb="FFFFFFFF"/>
      <x:name val="Arial"/>
    </x:font>
    <x:font>
      <x:b/>
      <x:sz val="15"/>
      <x:color rgb="FF663B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63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7208bad1a4d36" /><Relationship Type="http://schemas.openxmlformats.org/officeDocument/2006/relationships/theme" Target="/xl/theme/theme1.xml" Id="Rb0e3c62f85f24bfe" /><Relationship Type="http://schemas.microsoft.com/office/2022/11/relationships/FeaturePropertyBag" Target="/xl/featurePropertyBag/featurePropertyBag.xml" Id="Rf3e9f796033d443f" /><Relationship Type="http://schemas.openxmlformats.org/officeDocument/2006/relationships/sharedStrings" Target="/xl/sharedStrings.xml" Id="R43f2b681dd4b490d" /><Relationship Type="http://schemas.openxmlformats.org/officeDocument/2006/relationships/worksheet" Target="/xl/worksheets/sheet1.xml" Id="R289c2c92bff34e73" /><Relationship Type="http://schemas.openxmlformats.org/officeDocument/2006/relationships/worksheet" Target="/xl/worksheets/sheet2.xml" Id="Ree6042422d394f7c" /><Relationship Type="http://schemas.openxmlformats.org/officeDocument/2006/relationships/worksheet" Target="/xl/worksheets/sheet3.xml" Id="R4678ab75f5e14d69" /><Relationship Type="http://schemas.openxmlformats.org/officeDocument/2006/relationships/worksheet" Target="/xl/worksheets/sheet4.xml" Id="R6bf7dcc0de7b4d43" /><Relationship Type="http://schemas.openxmlformats.org/officeDocument/2006/relationships/worksheet" Target="/xl/worksheets/sheet5.xml" Id="Rdcafda0ed91a4fdf" /><Relationship Type="http://schemas.openxmlformats.org/officeDocument/2006/relationships/worksheet" Target="/xl/worksheets/sheet6.xml" Id="R1c5ab7dc92864b4b" /><Relationship Type="http://schemas.openxmlformats.org/officeDocument/2006/relationships/worksheet" Target="/xl/worksheets/sheet7.xml" Id="R540c6b5c7c434daf" /><Relationship Type="http://schemas.openxmlformats.org/officeDocument/2006/relationships/worksheet" Target="/xl/worksheets/sheet8.xml" Id="Rd256ba39643648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19ee53e01d4d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Theme mentions in accepted comments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XHS comments</c:v>
          </c:tx>
          <c:invertIfNegative val="0"/>
          <c:cat>
            <c:strRef>
              <c:f>'Summary'!$A$10:$A$17</c:f>
              <c:strCache>
                <c:ptCount val="0"/>
              </c:strCache>
            </c:strRef>
          </c:cat>
          <c:val>
            <c:numRef>
              <c:f>'Summary'!$C$10:$C$17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IG comments</c:v>
          </c:tx>
          <c:invertIfNegative val="0"/>
          <c:cat>
            <c:strRef>
              <c:f>'Summary'!$A$10:$A$17</c:f>
              <c:strCache>
                <c:ptCount val="0"/>
              </c:strCache>
            </c:strRef>
          </c:cat>
          <c:val>
            <c:numRef>
              <c:f>'Summary'!$E$10:$E$17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19ee53e01d4db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6" name="EvidencetoCampaignFinal" displayName="EvidencetoCampaignFinal" ref="A1:D7" headerRowCount="1" totalsRowCount="0" totalsRowShown="0">
  <x:autoFilter ref="A1:D7"/>
  <x:tableColumns count="4">
    <x:tableColumn id="1" name="Finding"/>
    <x:tableColumn id="2" name="Evidence IDs"/>
    <x:tableColumn id="3" name="Campaign implication"/>
    <x:tableColumn id="4" name="Counterevidence and uncertainty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CodedCommentsFinal" displayName="CodedCommentsFinal" ref="A1:Y265" headerRowCount="1" totalsRowCount="0" totalsRowShown="0">
  <x:autoFilter ref="A1:Y265"/>
  <x:tableColumns count="25">
    <x:tableColumn id="1" name="Comment ID"/>
    <x:tableColumn id="2" name="Post ID"/>
    <x:tableColumn id="3" name="Platform"/>
    <x:tableColumn id="4" name="Status"/>
    <x:tableColumn id="5" name="Clean display text"/>
    <x:tableColumn id="6" name="English gloss"/>
    <x:tableColumn id="7" name="Evidence excerpt"/>
    <x:tableColumn id="8" name="Review notes"/>
    <x:tableColumn id="9" name="T1"/>
    <x:tableColumn id="10" name="T2"/>
    <x:tableColumn id="11" name="T3"/>
    <x:tableColumn id="12" name="T4"/>
    <x:tableColumn id="13" name="T5"/>
    <x:tableColumn id="14" name="T6"/>
    <x:tableColumn id="15" name="T7"/>
    <x:tableColumn id="16" name="T8"/>
    <x:tableColumn id="17" name="Level"/>
    <x:tableColumn id="18" name="Comment year"/>
    <x:tableColumn id="19" name="Season relation"/>
    <x:tableColumn id="20" name="Exact datetime"/>
    <x:tableColumn id="21" name="Evidence source"/>
    <x:tableColumn id="22" name="Screenshot"/>
    <x:tableColumn id="23" name="Engagement"/>
    <x:tableColumn id="24" name="Purchase evidence"/>
    <x:tableColumn id="25" name="Repeat sensitivity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PostsFinal" displayName="PostsFinal" ref="A1:S25" headerRowCount="1" totalsRowCount="0" totalsRowShown="0">
  <x:autoFilter ref="A1:S25"/>
  <x:tableColumns count="19">
    <x:tableColumn id="1" name="Post ID"/>
    <x:tableColumn id="2" name="Platform"/>
    <x:tableColumn id="3" name="Title and selection basis"/>
    <x:tableColumn id="4" name="Original post date"/>
    <x:tableColumn id="5" name="Date and access note"/>
    <x:tableColumn id="6" name="Method"/>
    <x:tableColumn id="7" name="Geographic context"/>
    <x:tableColumn id="8" name="Evidence source"/>
    <x:tableColumn id="9" name="Post URL"/>
    <x:tableColumn id="10" name="Raw retained"/>
    <x:tableColumn id="11" name="Valid"/>
    <x:tableColumn id="12" name="T1"/>
    <x:tableColumn id="13" name="T2"/>
    <x:tableColumn id="14" name="T3"/>
    <x:tableColumn id="15" name="T4"/>
    <x:tableColumn id="16" name="T5"/>
    <x:tableColumn id="17" name="T6"/>
    <x:tableColumn id="18" name="T7"/>
    <x:tableColumn id="19" name="T8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2" name="RawCommentsFinal" displayName="RawCommentsFinal" ref="A1:M265" headerRowCount="1" totalsRowCount="0" totalsRowShown="0">
  <x:autoFilter ref="A1:M265"/>
  <x:tableColumns count="13">
    <x:tableColumn id="1" name="Comment ID"/>
    <x:tableColumn id="2" name="Post ID"/>
    <x:tableColumn id="3" name="Platform"/>
    <x:tableColumn id="4" name="Anonymous user"/>
    <x:tableColumn id="5" name="Original text"/>
    <x:tableColumn id="6" name="Original date label"/>
    <x:tableColumn id="7" name="Exact datetime"/>
    <x:tableColumn id="8" name="Position"/>
    <x:tableColumn id="9" name="Method"/>
    <x:tableColumn id="10" name="Source"/>
    <x:tableColumn id="11" name="Post URL"/>
    <x:tableColumn id="12" name="Collection period"/>
    <x:tableColumn id="13" name="Original date classification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4" name="CodebookFinal" displayName="CodebookFinal" ref="A1:E9" headerRowCount="1" totalsRowCount="0" totalsRowShown="0">
  <x:autoFilter ref="A1:E9"/>
  <x:tableColumns count="5">
    <x:tableColumn id="1" name="Code"/>
    <x:tableColumn id="2" name="Theme"/>
    <x:tableColumn id="3" name="Definition"/>
    <x:tableColumn id="4" name="Include rule"/>
    <x:tableColumn id="5" name="Exclude rule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5" name="InterviewFinal" displayName="InterviewFinal" ref="A1:E7" headerRowCount="1" totalsRowCount="0" totalsRowShown="0">
  <x:autoFilter ref="A1:E7"/>
  <x:tableColumns count="5">
    <x:tableColumn id="1" name="Evidence ID"/>
    <x:tableColumn id="2" name="Supplied summary"/>
    <x:tableColumn id="3" name="Supplied verbatim quote"/>
    <x:tableColumn id="4" name="Interpretation"/>
    <x:tableColumn id="5" name="Boundary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READMEFinal" displayName="READMEFinal" ref="A1:B20" headerRowCount="1" totalsRowCount="0" totalsRowShown="0">
  <x:autoFilter ref="A1:B20"/>
  <x:tableColumns count="2">
    <x:tableColumn id="1" name="Item"/>
    <x:tableColumn id="2" name="Explana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aaa4bea30f947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d56dbb81244b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c563ab125c4d38" /></Relationships>
</file>

<file path=xl/worksheets/_rels/sheet4.xml.rels><?xml version='1.0' encoding='UTF-8' standalone='yes'?>
<Relationships xmlns="http://schemas.openxmlformats.org/package/2006/relationships"><Relationship Type="http://schemas.openxmlformats.org/officeDocument/2006/relationships/table" Target="/xl/tables/table3.xml" Id="Rc55ff382fbd7410e"/><Relationship Id="rIdSaSaSource1" Type="http://schemas.openxmlformats.org/officeDocument/2006/relationships/hyperlink" Target="https://www.xiaohongshu.com/explore/6aad0c710000000026008cfa" TargetMode="External"/><Relationship Id="rIdSaSaSource2" Type="http://schemas.openxmlformats.org/officeDocument/2006/relationships/hyperlink" Target="https://www.xiaohongshu.com/explore/6ac1ca9f000000000200cda8" TargetMode="External"/><Relationship Id="rIdSaSaSource3" Type="http://schemas.openxmlformats.org/officeDocument/2006/relationships/hyperlink" Target="https://www.xiaohongshu.com/explore/6903aff40000000007021f33" TargetMode="External"/><Relationship Id="rIdSaSaSource4" Type="http://schemas.openxmlformats.org/officeDocument/2006/relationships/hyperlink" Target="https://www.xiaohongshu.com/explore/6ad35b09000000000a01eb29" TargetMode="External"/><Relationship Id="rIdSaSaSource5" Type="http://schemas.openxmlformats.org/officeDocument/2006/relationships/hyperlink" Target="https://www.xiaohongshu.com/explore/6ace0374000000001801a7e2" TargetMode="External"/><Relationship Id="rIdSaSaSource6" Type="http://schemas.openxmlformats.org/officeDocument/2006/relationships/hyperlink" Target="https://www.xiaohongshu.com/explore/6ac0efb3000000001803bbbd" TargetMode="External"/><Relationship Id="rIdSaSaSource7" Type="http://schemas.openxmlformats.org/officeDocument/2006/relationships/hyperlink" Target="https://www.instagram.com/reel/DBsunJ9SSmy/" TargetMode="External"/><Relationship Id="rIdSaSaSource8" Type="http://schemas.openxmlformats.org/officeDocument/2006/relationships/hyperlink" Target="https://www.instagram.com/p/DAkUGZYpazx/" TargetMode="External"/><Relationship Id="rIdSaSaSource9" Type="http://schemas.openxmlformats.org/officeDocument/2006/relationships/hyperlink" Target="https://www.instagram.com/p/DAmZYfus0fa/" TargetMode="External"/><Relationship Id="rIdSaSaSource10" Type="http://schemas.openxmlformats.org/officeDocument/2006/relationships/hyperlink" Target="https://www.xiaohongshu.com/explore/6aca2fd1000000001a025c97" TargetMode="External"/><Relationship Id="rIdSaSaSource11" Type="http://schemas.openxmlformats.org/officeDocument/2006/relationships/hyperlink" Target="https://www.xiaohongshu.com/explore/6ac39d3b000000000d0281d0" TargetMode="External"/><Relationship Id="rIdSaSaSource12" Type="http://schemas.openxmlformats.org/officeDocument/2006/relationships/hyperlink" Target="https://www.xiaohongshu.com/explore/6ad5f73a000000002a026cd0" TargetMode="External"/><Relationship Id="rIdSaSaSource13" Type="http://schemas.openxmlformats.org/officeDocument/2006/relationships/hyperlink" Target="https://www.xiaohongshu.com/explore/6ad34887000000001801bdc1" TargetMode="External"/><Relationship Id="rIdSaSaSource14" Type="http://schemas.openxmlformats.org/officeDocument/2006/relationships/hyperlink" Target="https://www.xiaohongshu.com/explore/6aba764c000000001b01c08b" TargetMode="External"/><Relationship Id="rIdSaSaSource15" Type="http://schemas.openxmlformats.org/officeDocument/2006/relationships/hyperlink" Target="https://www.xiaohongshu.com/explore/6ad52f2a0000000029009b2b" TargetMode="External"/><Relationship Id="rIdSaSaSource16" Type="http://schemas.openxmlformats.org/officeDocument/2006/relationships/hyperlink" Target="https://www.instagram.com/reel/DeppGlOxgA4/" TargetMode="External"/><Relationship Id="rIdSaSaSource17" Type="http://schemas.openxmlformats.org/officeDocument/2006/relationships/hyperlink" Target="https://www.instagram.com/reel/DPRfaCiDD7n/" TargetMode="External"/><Relationship Id="rIdSaSaSource18" Type="http://schemas.openxmlformats.org/officeDocument/2006/relationships/hyperlink" Target="https://www.instagram.com/p/DA92M5qyQ9H/" TargetMode="External"/><Relationship Id="rIdSaSaSource19" Type="http://schemas.openxmlformats.org/officeDocument/2006/relationships/hyperlink" Target="https://www.instagram.com/reel/DAlrf28Njbf/" TargetMode="External"/><Relationship Id="rIdSaSaSource20" Type="http://schemas.openxmlformats.org/officeDocument/2006/relationships/hyperlink" Target="https://www.instagram.com/reel/DBCK7wjpZKe/" TargetMode="External"/><Relationship Id="rIdSaSaSource21" Type="http://schemas.openxmlformats.org/officeDocument/2006/relationships/hyperlink" Target="https://www.instagram.com/reel/DBHO7-1CUzs/" TargetMode="External"/><Relationship Id="rIdSaSaSource22" Type="http://schemas.openxmlformats.org/officeDocument/2006/relationships/hyperlink" Target="https://www.instagram.com/reel/DBHR6MPOlNY/" TargetMode="External"/><Relationship Id="rIdSaSaSource23" Type="http://schemas.openxmlformats.org/officeDocument/2006/relationships/hyperlink" Target="https://www.instagram.com/reel/DBePt0ntGVD/" TargetMode="External"/><Relationship Id="rIdSaSaSource24" Type="http://schemas.openxmlformats.org/officeDocument/2006/relationships/hyperlink" Target="https://www.instagram.com/reel/DPg7zL-DB7o/" TargetMode="External"/></Relationships>
</file>

<file path=xl/worksheets/_rels/sheet5.xml.rels><?xml version='1.0' encoding='UTF-8' standalone='yes'?>
<Relationships xmlns="http://schemas.openxmlformats.org/package/2006/relationships"><Relationship Type="http://schemas.openxmlformats.org/officeDocument/2006/relationships/table" Target="/xl/tables/table4.xml" Id="R62943ab3b44343e7"/><Relationship Id="rIdSaSaSource1" Type="http://schemas.openxmlformats.org/officeDocument/2006/relationships/hyperlink" Target="https://www.xiaohongshu.com/explore/6aad0c710000000026008cfa" TargetMode="External"/><Relationship Id="rIdSaSaSource2" Type="http://schemas.openxmlformats.org/officeDocument/2006/relationships/hyperlink" Target="https://www.xiaohongshu.com/explore/6aad0c710000000026008cfa" TargetMode="External"/><Relationship Id="rIdSaSaSource3" Type="http://schemas.openxmlformats.org/officeDocument/2006/relationships/hyperlink" Target="https://www.xiaohongshu.com/explore/6aad0c710000000026008cfa" TargetMode="External"/><Relationship Id="rIdSaSaSource4" Type="http://schemas.openxmlformats.org/officeDocument/2006/relationships/hyperlink" Target="https://www.xiaohongshu.com/explore/6aad0c710000000026008cfa" TargetMode="External"/><Relationship Id="rIdSaSaSource5" Type="http://schemas.openxmlformats.org/officeDocument/2006/relationships/hyperlink" Target="https://www.xiaohongshu.com/explore/6aad0c710000000026008cfa" TargetMode="External"/><Relationship Id="rIdSaSaSource6" Type="http://schemas.openxmlformats.org/officeDocument/2006/relationships/hyperlink" Target="https://www.xiaohongshu.com/explore/6aad0c710000000026008cfa" TargetMode="External"/><Relationship Id="rIdSaSaSource7" Type="http://schemas.openxmlformats.org/officeDocument/2006/relationships/hyperlink" Target="https://www.xiaohongshu.com/explore/6aad0c710000000026008cfa" TargetMode="External"/><Relationship Id="rIdSaSaSource8" Type="http://schemas.openxmlformats.org/officeDocument/2006/relationships/hyperlink" Target="https://www.xiaohongshu.com/explore/6aad0c710000000026008cfa" TargetMode="External"/><Relationship Id="rIdSaSaSource9" Type="http://schemas.openxmlformats.org/officeDocument/2006/relationships/hyperlink" Target="https://www.xiaohongshu.com/explore/6aad0c710000000026008cfa" TargetMode="External"/><Relationship Id="rIdSaSaSource10" Type="http://schemas.openxmlformats.org/officeDocument/2006/relationships/hyperlink" Target="https://www.xiaohongshu.com/explore/6aad0c710000000026008cfa" TargetMode="External"/><Relationship Id="rIdSaSaSource11" Type="http://schemas.openxmlformats.org/officeDocument/2006/relationships/hyperlink" Target="https://www.xiaohongshu.com/explore/6aad0c710000000026008cfa" TargetMode="External"/><Relationship Id="rIdSaSaSource12" Type="http://schemas.openxmlformats.org/officeDocument/2006/relationships/hyperlink" Target="https://www.xiaohongshu.com/explore/6aad0c710000000026008cfa" TargetMode="External"/><Relationship Id="rIdSaSaSource13" Type="http://schemas.openxmlformats.org/officeDocument/2006/relationships/hyperlink" Target="https://www.xiaohongshu.com/explore/6aad0c710000000026008cfa" TargetMode="External"/><Relationship Id="rIdSaSaSource14" Type="http://schemas.openxmlformats.org/officeDocument/2006/relationships/hyperlink" Target="https://www.xiaohongshu.com/explore/6aad0c710000000026008cfa" TargetMode="External"/><Relationship Id="rIdSaSaSource15" Type="http://schemas.openxmlformats.org/officeDocument/2006/relationships/hyperlink" Target="https://www.xiaohongshu.com/explore/6aad0c710000000026008cfa" TargetMode="External"/><Relationship Id="rIdSaSaSource16" Type="http://schemas.openxmlformats.org/officeDocument/2006/relationships/hyperlink" Target="https://www.xiaohongshu.com/explore/6aad0c710000000026008cfa" TargetMode="External"/><Relationship Id="rIdSaSaSource17" Type="http://schemas.openxmlformats.org/officeDocument/2006/relationships/hyperlink" Target="https://www.xiaohongshu.com/explore/6aad0c710000000026008cfa" TargetMode="External"/><Relationship Id="rIdSaSaSource18" Type="http://schemas.openxmlformats.org/officeDocument/2006/relationships/hyperlink" Target="https://www.xiaohongshu.com/explore/6aad0c710000000026008cfa" TargetMode="External"/><Relationship Id="rIdSaSaSource19" Type="http://schemas.openxmlformats.org/officeDocument/2006/relationships/hyperlink" Target="https://www.xiaohongshu.com/explore/6aad0c710000000026008cfa" TargetMode="External"/><Relationship Id="rIdSaSaSource20" Type="http://schemas.openxmlformats.org/officeDocument/2006/relationships/hyperlink" Target="https://www.xiaohongshu.com/explore/6aad0c710000000026008cfa" TargetMode="External"/><Relationship Id="rIdSaSaSource21" Type="http://schemas.openxmlformats.org/officeDocument/2006/relationships/hyperlink" Target="https://www.xiaohongshu.com/explore/6aad0c710000000026008cfa" TargetMode="External"/><Relationship Id="rIdSaSaSource22" Type="http://schemas.openxmlformats.org/officeDocument/2006/relationships/hyperlink" Target="https://www.xiaohongshu.com/explore/6aad0c710000000026008cfa" TargetMode="External"/><Relationship Id="rIdSaSaSource23" Type="http://schemas.openxmlformats.org/officeDocument/2006/relationships/hyperlink" Target="https://www.xiaohongshu.com/explore/6aad0c710000000026008cfa" TargetMode="External"/><Relationship Id="rIdSaSaSource24" Type="http://schemas.openxmlformats.org/officeDocument/2006/relationships/hyperlink" Target="https://www.xiaohongshu.com/explore/6aad0c710000000026008cfa" TargetMode="External"/><Relationship Id="rIdSaSaSource25" Type="http://schemas.openxmlformats.org/officeDocument/2006/relationships/hyperlink" Target="https://www.xiaohongshu.com/explore/6ac1ca9f000000000200cda8" TargetMode="External"/><Relationship Id="rIdSaSaSource26" Type="http://schemas.openxmlformats.org/officeDocument/2006/relationships/hyperlink" Target="https://www.xiaohongshu.com/explore/6ac1ca9f000000000200cda8" TargetMode="External"/><Relationship Id="rIdSaSaSource27" Type="http://schemas.openxmlformats.org/officeDocument/2006/relationships/hyperlink" Target="https://www.xiaohongshu.com/explore/6ac1ca9f000000000200cda8" TargetMode="External"/><Relationship Id="rIdSaSaSource28" Type="http://schemas.openxmlformats.org/officeDocument/2006/relationships/hyperlink" Target="https://www.xiaohongshu.com/explore/6ac1ca9f000000000200cda8" TargetMode="External"/><Relationship Id="rIdSaSaSource29" Type="http://schemas.openxmlformats.org/officeDocument/2006/relationships/hyperlink" Target="https://www.xiaohongshu.com/explore/6ac1ca9f000000000200cda8" TargetMode="External"/><Relationship Id="rIdSaSaSource30" Type="http://schemas.openxmlformats.org/officeDocument/2006/relationships/hyperlink" Target="https://www.xiaohongshu.com/explore/6903aff40000000007021f33" TargetMode="External"/><Relationship Id="rIdSaSaSource31" Type="http://schemas.openxmlformats.org/officeDocument/2006/relationships/hyperlink" Target="https://www.xiaohongshu.com/explore/6ace0374000000001801a7e2" TargetMode="External"/><Relationship Id="rIdSaSaSource32" Type="http://schemas.openxmlformats.org/officeDocument/2006/relationships/hyperlink" Target="https://www.xiaohongshu.com/explore/6ace0374000000001801a7e2" TargetMode="External"/><Relationship Id="rIdSaSaSource33" Type="http://schemas.openxmlformats.org/officeDocument/2006/relationships/hyperlink" Target="https://www.xiaohongshu.com/explore/6ace0374000000001801a7e2" TargetMode="External"/><Relationship Id="rIdSaSaSource34" Type="http://schemas.openxmlformats.org/officeDocument/2006/relationships/hyperlink" Target="https://www.xiaohongshu.com/explore/6ace0374000000001801a7e2" TargetMode="External"/><Relationship Id="rIdSaSaSource35" Type="http://schemas.openxmlformats.org/officeDocument/2006/relationships/hyperlink" Target="https://www.xiaohongshu.com/explore/6ace0374000000001801a7e2" TargetMode="External"/><Relationship Id="rIdSaSaSource36" Type="http://schemas.openxmlformats.org/officeDocument/2006/relationships/hyperlink" Target="https://www.xiaohongshu.com/explore/6ace0374000000001801a7e2" TargetMode="External"/><Relationship Id="rIdSaSaSource37" Type="http://schemas.openxmlformats.org/officeDocument/2006/relationships/hyperlink" Target="https://www.xiaohongshu.com/explore/6ace0374000000001801a7e2" TargetMode="External"/><Relationship Id="rIdSaSaSource38" Type="http://schemas.openxmlformats.org/officeDocument/2006/relationships/hyperlink" Target="https://www.xiaohongshu.com/explore/6ace0374000000001801a7e2" TargetMode="External"/><Relationship Id="rIdSaSaSource39" Type="http://schemas.openxmlformats.org/officeDocument/2006/relationships/hyperlink" Target="https://www.xiaohongshu.com/explore/6ace0374000000001801a7e2" TargetMode="External"/><Relationship Id="rIdSaSaSource40" Type="http://schemas.openxmlformats.org/officeDocument/2006/relationships/hyperlink" Target="https://www.xiaohongshu.com/explore/6ace0374000000001801a7e2" TargetMode="External"/><Relationship Id="rIdSaSaSource41" Type="http://schemas.openxmlformats.org/officeDocument/2006/relationships/hyperlink" Target="https://www.xiaohongshu.com/explore/6ace0374000000001801a7e2" TargetMode="External"/><Relationship Id="rIdSaSaSource42" Type="http://schemas.openxmlformats.org/officeDocument/2006/relationships/hyperlink" Target="https://www.xiaohongshu.com/explore/6ace0374000000001801a7e2" TargetMode="External"/><Relationship Id="rIdSaSaSource43" Type="http://schemas.openxmlformats.org/officeDocument/2006/relationships/hyperlink" Target="https://www.xiaohongshu.com/explore/6ace0374000000001801a7e2" TargetMode="External"/><Relationship Id="rIdSaSaSource44" Type="http://schemas.openxmlformats.org/officeDocument/2006/relationships/hyperlink" Target="https://www.xiaohongshu.com/explore/6ace0374000000001801a7e2" TargetMode="External"/><Relationship Id="rIdSaSaSource45" Type="http://schemas.openxmlformats.org/officeDocument/2006/relationships/hyperlink" Target="https://www.xiaohongshu.com/explore/6ace0374000000001801a7e2" TargetMode="External"/><Relationship Id="rIdSaSaSource46" Type="http://schemas.openxmlformats.org/officeDocument/2006/relationships/hyperlink" Target="https://www.xiaohongshu.com/explore/6ace0374000000001801a7e2" TargetMode="External"/><Relationship Id="rIdSaSaSource47" Type="http://schemas.openxmlformats.org/officeDocument/2006/relationships/hyperlink" Target="https://www.xiaohongshu.com/explore/6ac0efb3000000001803bbbd" TargetMode="External"/><Relationship Id="rIdSaSaSource48" Type="http://schemas.openxmlformats.org/officeDocument/2006/relationships/hyperlink" Target="https://www.xiaohongshu.com/explore/6ac0efb3000000001803bbbd" TargetMode="External"/><Relationship Id="rIdSaSaSource49" Type="http://schemas.openxmlformats.org/officeDocument/2006/relationships/hyperlink" Target="https://www.xiaohongshu.com/explore/6ac0efb3000000001803bbbd" TargetMode="External"/><Relationship Id="rIdSaSaSource50" Type="http://schemas.openxmlformats.org/officeDocument/2006/relationships/hyperlink" Target="https://www.xiaohongshu.com/explore/6ac0efb3000000001803bbbd" TargetMode="External"/><Relationship Id="rIdSaSaSource51" Type="http://schemas.openxmlformats.org/officeDocument/2006/relationships/hyperlink" Target="https://www.xiaohongshu.com/explore/6ac0efb3000000001803bbbd" TargetMode="External"/><Relationship Id="rIdSaSaSource52" Type="http://schemas.openxmlformats.org/officeDocument/2006/relationships/hyperlink" Target="https://www.xiaohongshu.com/explore/6ac0efb3000000001803bbbd" TargetMode="External"/><Relationship Id="rIdSaSaSource53" Type="http://schemas.openxmlformats.org/officeDocument/2006/relationships/hyperlink" Target="https://www.xiaohongshu.com/explore/6ac0efb3000000001803bbbd" TargetMode="External"/><Relationship Id="rIdSaSaSource54" Type="http://schemas.openxmlformats.org/officeDocument/2006/relationships/hyperlink" Target="https://www.xiaohongshu.com/explore/6ac0efb3000000001803bbbd" TargetMode="External"/><Relationship Id="rIdSaSaSource55" Type="http://schemas.openxmlformats.org/officeDocument/2006/relationships/hyperlink" Target="https://www.xiaohongshu.com/explore/6ac0efb3000000001803bbbd" TargetMode="External"/><Relationship Id="rIdSaSaSource56" Type="http://schemas.openxmlformats.org/officeDocument/2006/relationships/hyperlink" Target="https://www.xiaohongshu.com/explore/6ac0efb3000000001803bbbd" TargetMode="External"/><Relationship Id="rIdSaSaSource57" Type="http://schemas.openxmlformats.org/officeDocument/2006/relationships/hyperlink" Target="https://www.xiaohongshu.com/explore/6ac0efb3000000001803bbbd" TargetMode="External"/><Relationship Id="rIdSaSaSource58" Type="http://schemas.openxmlformats.org/officeDocument/2006/relationships/hyperlink" Target="https://www.xiaohongshu.com/explore/6ac0efb3000000001803bbbd" TargetMode="External"/><Relationship Id="rIdSaSaSource59" Type="http://schemas.openxmlformats.org/officeDocument/2006/relationships/hyperlink" Target="https://www.xiaohongshu.com/explore/6ac0efb3000000001803bbbd" TargetMode="External"/><Relationship Id="rIdSaSaSource60" Type="http://schemas.openxmlformats.org/officeDocument/2006/relationships/hyperlink" Target="https://www.xiaohongshu.com/explore/6ac0efb3000000001803bbbd" TargetMode="External"/><Relationship Id="rIdSaSaSource61" Type="http://schemas.openxmlformats.org/officeDocument/2006/relationships/hyperlink" Target="https://www.xiaohongshu.com/explore/6ac0efb3000000001803bbbd" TargetMode="External"/><Relationship Id="rIdSaSaSource62" Type="http://schemas.openxmlformats.org/officeDocument/2006/relationships/hyperlink" Target="https://www.xiaohongshu.com/explore/6ac0efb3000000001803bbbd" TargetMode="External"/><Relationship Id="rIdSaSaSource63" Type="http://schemas.openxmlformats.org/officeDocument/2006/relationships/hyperlink" Target="https://www.xiaohongshu.com/explore/6ac0efb3000000001803bbbd" TargetMode="External"/><Relationship Id="rIdSaSaSource64" Type="http://schemas.openxmlformats.org/officeDocument/2006/relationships/hyperlink" Target="https://www.xiaohongshu.com/explore/6ac0efb3000000001803bbbd" TargetMode="External"/><Relationship Id="rIdSaSaSource65" Type="http://schemas.openxmlformats.org/officeDocument/2006/relationships/hyperlink" Target="https://www.xiaohongshu.com/explore/6ac0efb3000000001803bbbd" TargetMode="External"/><Relationship Id="rIdSaSaSource66" Type="http://schemas.openxmlformats.org/officeDocument/2006/relationships/hyperlink" Target="https://www.xiaohongshu.com/explore/6ac0efb3000000001803bbbd" TargetMode="External"/><Relationship Id="rIdSaSaSource67" Type="http://schemas.openxmlformats.org/officeDocument/2006/relationships/hyperlink" Target="https://www.xiaohongshu.com/explore/6ac0efb3000000001803bbbd" TargetMode="External"/><Relationship Id="rIdSaSaSource68" Type="http://schemas.openxmlformats.org/officeDocument/2006/relationships/hyperlink" Target="https://www.xiaohongshu.com/explore/6ac0efb3000000001803bbbd" TargetMode="External"/><Relationship Id="rIdSaSaSource69" Type="http://schemas.openxmlformats.org/officeDocument/2006/relationships/hyperlink" Target="https://www.xiaohongshu.com/explore/6ac0efb3000000001803bbbd" TargetMode="External"/><Relationship Id="rIdSaSaSource70" Type="http://schemas.openxmlformats.org/officeDocument/2006/relationships/hyperlink" Target="https://www.xiaohongshu.com/explore/6ac0efb3000000001803bbbd" TargetMode="External"/><Relationship Id="rIdSaSaSource71" Type="http://schemas.openxmlformats.org/officeDocument/2006/relationships/hyperlink" Target="https://www.xiaohongshu.com/explore/6ac0efb3000000001803bbbd" TargetMode="External"/><Relationship Id="rIdSaSaSource72" Type="http://schemas.openxmlformats.org/officeDocument/2006/relationships/hyperlink" Target="https://www.xiaohongshu.com/explore/6ac0efb3000000001803bbbd" TargetMode="External"/><Relationship Id="rIdSaSaSource73" Type="http://schemas.openxmlformats.org/officeDocument/2006/relationships/hyperlink" Target="https://www.instagram.com/reel/DBsunJ9SSmy/" TargetMode="External"/><Relationship Id="rIdSaSaSource74" Type="http://schemas.openxmlformats.org/officeDocument/2006/relationships/hyperlink" Target="https://www.instagram.com/reel/DBsunJ9SSmy/" TargetMode="External"/><Relationship Id="rIdSaSaSource75" Type="http://schemas.openxmlformats.org/officeDocument/2006/relationships/hyperlink" Target="https://www.instagram.com/reel/DBsunJ9SSmy/" TargetMode="External"/><Relationship Id="rIdSaSaSource76" Type="http://schemas.openxmlformats.org/officeDocument/2006/relationships/hyperlink" Target="https://www.instagram.com/reel/DBsunJ9SSmy/" TargetMode="External"/><Relationship Id="rIdSaSaSource77" Type="http://schemas.openxmlformats.org/officeDocument/2006/relationships/hyperlink" Target="https://www.instagram.com/reel/DBsunJ9SSmy/" TargetMode="External"/><Relationship Id="rIdSaSaSource78" Type="http://schemas.openxmlformats.org/officeDocument/2006/relationships/hyperlink" Target="https://www.instagram.com/reel/DBsunJ9SSmy/" TargetMode="External"/><Relationship Id="rIdSaSaSource79" Type="http://schemas.openxmlformats.org/officeDocument/2006/relationships/hyperlink" Target="https://www.instagram.com/reel/DBsunJ9SSmy/" TargetMode="External"/><Relationship Id="rIdSaSaSource80" Type="http://schemas.openxmlformats.org/officeDocument/2006/relationships/hyperlink" Target="https://www.instagram.com/p/DAkUGZYpazx/" TargetMode="External"/><Relationship Id="rIdSaSaSource81" Type="http://schemas.openxmlformats.org/officeDocument/2006/relationships/hyperlink" Target="https://www.instagram.com/p/DAkUGZYpazx/" TargetMode="External"/><Relationship Id="rIdSaSaSource82" Type="http://schemas.openxmlformats.org/officeDocument/2006/relationships/hyperlink" Target="https://www.instagram.com/p/DAkUGZYpazx/" TargetMode="External"/><Relationship Id="rIdSaSaSource83" Type="http://schemas.openxmlformats.org/officeDocument/2006/relationships/hyperlink" Target="https://www.instagram.com/p/DAkUGZYpazx/" TargetMode="External"/><Relationship Id="rIdSaSaSource84" Type="http://schemas.openxmlformats.org/officeDocument/2006/relationships/hyperlink" Target="https://www.instagram.com/p/DAkUGZYpazx/" TargetMode="External"/><Relationship Id="rIdSaSaSource85" Type="http://schemas.openxmlformats.org/officeDocument/2006/relationships/hyperlink" Target="https://www.instagram.com/p/DAkUGZYpazx/" TargetMode="External"/><Relationship Id="rIdSaSaSource86" Type="http://schemas.openxmlformats.org/officeDocument/2006/relationships/hyperlink" Target="https://www.instagram.com/p/DAkUGZYpazx/" TargetMode="External"/><Relationship Id="rIdSaSaSource87" Type="http://schemas.openxmlformats.org/officeDocument/2006/relationships/hyperlink" Target="https://www.instagram.com/p/DAkUGZYpazx/" TargetMode="External"/><Relationship Id="rIdSaSaSource88" Type="http://schemas.openxmlformats.org/officeDocument/2006/relationships/hyperlink" Target="https://www.instagram.com/p/DAkUGZYpazx/" TargetMode="External"/><Relationship Id="rIdSaSaSource89" Type="http://schemas.openxmlformats.org/officeDocument/2006/relationships/hyperlink" Target="https://www.instagram.com/p/DAkUGZYpazx/" TargetMode="External"/><Relationship Id="rIdSaSaSource90" Type="http://schemas.openxmlformats.org/officeDocument/2006/relationships/hyperlink" Target="https://www.instagram.com/p/DAkUGZYpazx/" TargetMode="External"/><Relationship Id="rIdSaSaSource91" Type="http://schemas.openxmlformats.org/officeDocument/2006/relationships/hyperlink" Target="https://www.instagram.com/p/DAkUGZYpazx/" TargetMode="External"/><Relationship Id="rIdSaSaSource92" Type="http://schemas.openxmlformats.org/officeDocument/2006/relationships/hyperlink" Target="https://www.instagram.com/p/DAmZYfus0fa/" TargetMode="External"/><Relationship Id="rIdSaSaSource93" Type="http://schemas.openxmlformats.org/officeDocument/2006/relationships/hyperlink" Target="https://www.instagram.com/p/DAmZYfus0fa/" TargetMode="External"/><Relationship Id="rIdSaSaSource94" Type="http://schemas.openxmlformats.org/officeDocument/2006/relationships/hyperlink" Target="https://www.instagram.com/p/DAmZYfus0fa/" TargetMode="External"/><Relationship Id="rIdSaSaSource95" Type="http://schemas.openxmlformats.org/officeDocument/2006/relationships/hyperlink" Target="https://www.instagram.com/p/DAmZYfus0fa/" TargetMode="External"/><Relationship Id="rIdSaSaSource96" Type="http://schemas.openxmlformats.org/officeDocument/2006/relationships/hyperlink" Target="https://www.instagram.com/p/DAmZYfus0fa/" TargetMode="External"/><Relationship Id="rIdSaSaSource97" Type="http://schemas.openxmlformats.org/officeDocument/2006/relationships/hyperlink" Target="https://www.instagram.com/p/DAmZYfus0fa/" TargetMode="External"/><Relationship Id="rIdSaSaSource98" Type="http://schemas.openxmlformats.org/officeDocument/2006/relationships/hyperlink" Target="https://www.instagram.com/p/DAmZYfus0fa/" TargetMode="External"/><Relationship Id="rIdSaSaSource99" Type="http://schemas.openxmlformats.org/officeDocument/2006/relationships/hyperlink" Target="https://www.instagram.com/p/DAmZYfus0fa/" TargetMode="External"/><Relationship Id="rIdSaSaSource100" Type="http://schemas.openxmlformats.org/officeDocument/2006/relationships/hyperlink" Target="https://www.instagram.com/p/DAmZYfus0fa/" TargetMode="External"/><Relationship Id="rIdSaSaSource101" Type="http://schemas.openxmlformats.org/officeDocument/2006/relationships/hyperlink" Target="https://www.instagram.com/p/DAmZYfus0fa/" TargetMode="External"/><Relationship Id="rIdSaSaSource102" Type="http://schemas.openxmlformats.org/officeDocument/2006/relationships/hyperlink" Target="https://www.instagram.com/p/DAmZYfus0fa/" TargetMode="External"/><Relationship Id="rIdSaSaSource103" Type="http://schemas.openxmlformats.org/officeDocument/2006/relationships/hyperlink" Target="https://www.instagram.com/p/DAmZYfus0fa/" TargetMode="External"/><Relationship Id="rIdSaSaSource104" Type="http://schemas.openxmlformats.org/officeDocument/2006/relationships/hyperlink" Target="https://www.instagram.com/p/DAmZYfus0fa/" TargetMode="External"/><Relationship Id="rIdSaSaSource105" Type="http://schemas.openxmlformats.org/officeDocument/2006/relationships/hyperlink" Target="https://www.instagram.com/p/DAmZYfus0fa/" TargetMode="External"/><Relationship Id="rIdSaSaSource106" Type="http://schemas.openxmlformats.org/officeDocument/2006/relationships/hyperlink" Target="https://www.instagram.com/p/DAmZYfus0fa/" TargetMode="External"/><Relationship Id="rIdSaSaSource107" Type="http://schemas.openxmlformats.org/officeDocument/2006/relationships/hyperlink" Target="https://www.xiaohongshu.com/explore/6aca2fd1000000001a025c97" TargetMode="External"/><Relationship Id="rIdSaSaSource108" Type="http://schemas.openxmlformats.org/officeDocument/2006/relationships/hyperlink" Target="https://www.xiaohongshu.com/explore/6aca2fd1000000001a025c97" TargetMode="External"/><Relationship Id="rIdSaSaSource109" Type="http://schemas.openxmlformats.org/officeDocument/2006/relationships/hyperlink" Target="https://www.xiaohongshu.com/explore/6aca2fd1000000001a025c97" TargetMode="External"/><Relationship Id="rIdSaSaSource110" Type="http://schemas.openxmlformats.org/officeDocument/2006/relationships/hyperlink" Target="https://www.xiaohongshu.com/explore/6aca2fd1000000001a025c97" TargetMode="External"/><Relationship Id="rIdSaSaSource111" Type="http://schemas.openxmlformats.org/officeDocument/2006/relationships/hyperlink" Target="https://www.xiaohongshu.com/explore/6aca2fd1000000001a025c97" TargetMode="External"/><Relationship Id="rIdSaSaSource112" Type="http://schemas.openxmlformats.org/officeDocument/2006/relationships/hyperlink" Target="https://www.xiaohongshu.com/explore/6aca2fd1000000001a025c97" TargetMode="External"/><Relationship Id="rIdSaSaSource113" Type="http://schemas.openxmlformats.org/officeDocument/2006/relationships/hyperlink" Target="https://www.xiaohongshu.com/explore/6aca2fd1000000001a025c97" TargetMode="External"/><Relationship Id="rIdSaSaSource114" Type="http://schemas.openxmlformats.org/officeDocument/2006/relationships/hyperlink" Target="https://www.xiaohongshu.com/explore/6aca2fd1000000001a025c97" TargetMode="External"/><Relationship Id="rIdSaSaSource115" Type="http://schemas.openxmlformats.org/officeDocument/2006/relationships/hyperlink" Target="https://www.xiaohongshu.com/explore/6aca2fd1000000001a025c97" TargetMode="External"/><Relationship Id="rIdSaSaSource116" Type="http://schemas.openxmlformats.org/officeDocument/2006/relationships/hyperlink" Target="https://www.xiaohongshu.com/explore/6aca2fd1000000001a025c97" TargetMode="External"/><Relationship Id="rIdSaSaSource117" Type="http://schemas.openxmlformats.org/officeDocument/2006/relationships/hyperlink" Target="https://www.xiaohongshu.com/explore/6ac39d3b000000000d0281d0" TargetMode="External"/><Relationship Id="rIdSaSaSource118" Type="http://schemas.openxmlformats.org/officeDocument/2006/relationships/hyperlink" Target="https://www.xiaohongshu.com/explore/6ac39d3b000000000d0281d0" TargetMode="External"/><Relationship Id="rIdSaSaSource119" Type="http://schemas.openxmlformats.org/officeDocument/2006/relationships/hyperlink" Target="https://www.xiaohongshu.com/explore/6ac39d3b000000000d0281d0" TargetMode="External"/><Relationship Id="rIdSaSaSource120" Type="http://schemas.openxmlformats.org/officeDocument/2006/relationships/hyperlink" Target="https://www.xiaohongshu.com/explore/6ac39d3b000000000d0281d0" TargetMode="External"/><Relationship Id="rIdSaSaSource121" Type="http://schemas.openxmlformats.org/officeDocument/2006/relationships/hyperlink" Target="https://www.xiaohongshu.com/explore/6ac39d3b000000000d0281d0" TargetMode="External"/><Relationship Id="rIdSaSaSource122" Type="http://schemas.openxmlformats.org/officeDocument/2006/relationships/hyperlink" Target="https://www.xiaohongshu.com/explore/6ac39d3b000000000d0281d0" TargetMode="External"/><Relationship Id="rIdSaSaSource123" Type="http://schemas.openxmlformats.org/officeDocument/2006/relationships/hyperlink" Target="https://www.xiaohongshu.com/explore/6ac39d3b000000000d0281d0" TargetMode="External"/><Relationship Id="rIdSaSaSource124" Type="http://schemas.openxmlformats.org/officeDocument/2006/relationships/hyperlink" Target="https://www.xiaohongshu.com/explore/6ac39d3b000000000d0281d0" TargetMode="External"/><Relationship Id="rIdSaSaSource125" Type="http://schemas.openxmlformats.org/officeDocument/2006/relationships/hyperlink" Target="https://www.xiaohongshu.com/explore/6ac39d3b000000000d0281d0" TargetMode="External"/><Relationship Id="rIdSaSaSource126" Type="http://schemas.openxmlformats.org/officeDocument/2006/relationships/hyperlink" Target="https://www.xiaohongshu.com/explore/6ac39d3b000000000d0281d0" TargetMode="External"/><Relationship Id="rIdSaSaSource127" Type="http://schemas.openxmlformats.org/officeDocument/2006/relationships/hyperlink" Target="https://www.xiaohongshu.com/explore/6ac39d3b000000000d0281d0" TargetMode="External"/><Relationship Id="rIdSaSaSource128" Type="http://schemas.openxmlformats.org/officeDocument/2006/relationships/hyperlink" Target="https://www.xiaohongshu.com/explore/6ac39d3b000000000d0281d0" TargetMode="External"/><Relationship Id="rIdSaSaSource129" Type="http://schemas.openxmlformats.org/officeDocument/2006/relationships/hyperlink" Target="https://www.xiaohongshu.com/explore/6ac39d3b000000000d0281d0" TargetMode="External"/><Relationship Id="rIdSaSaSource130" Type="http://schemas.openxmlformats.org/officeDocument/2006/relationships/hyperlink" Target="https://www.xiaohongshu.com/explore/6ac39d3b000000000d0281d0" TargetMode="External"/><Relationship Id="rIdSaSaSource131" Type="http://schemas.openxmlformats.org/officeDocument/2006/relationships/hyperlink" Target="https://www.xiaohongshu.com/explore/6ac39d3b000000000d0281d0" TargetMode="External"/><Relationship Id="rIdSaSaSource132" Type="http://schemas.openxmlformats.org/officeDocument/2006/relationships/hyperlink" Target="https://www.xiaohongshu.com/explore/6ad34887000000001801bdc1" TargetMode="External"/><Relationship Id="rIdSaSaSource133" Type="http://schemas.openxmlformats.org/officeDocument/2006/relationships/hyperlink" Target="https://www.xiaohongshu.com/explore/6ad34887000000001801bdc1" TargetMode="External"/><Relationship Id="rIdSaSaSource134" Type="http://schemas.openxmlformats.org/officeDocument/2006/relationships/hyperlink" Target="https://www.xiaohongshu.com/explore/6aba764c000000001b01c08b" TargetMode="External"/><Relationship Id="rIdSaSaSource135" Type="http://schemas.openxmlformats.org/officeDocument/2006/relationships/hyperlink" Target="https://www.xiaohongshu.com/explore/6aba764c000000001b01c08b" TargetMode="External"/><Relationship Id="rIdSaSaSource136" Type="http://schemas.openxmlformats.org/officeDocument/2006/relationships/hyperlink" Target="https://www.xiaohongshu.com/explore/6aba764c000000001b01c08b" TargetMode="External"/><Relationship Id="rIdSaSaSource137" Type="http://schemas.openxmlformats.org/officeDocument/2006/relationships/hyperlink" Target="https://www.xiaohongshu.com/explore/6aba764c000000001b01c08b" TargetMode="External"/><Relationship Id="rIdSaSaSource138" Type="http://schemas.openxmlformats.org/officeDocument/2006/relationships/hyperlink" Target="https://www.xiaohongshu.com/explore/6aba764c000000001b01c08b" TargetMode="External"/><Relationship Id="rIdSaSaSource139" Type="http://schemas.openxmlformats.org/officeDocument/2006/relationships/hyperlink" Target="https://www.xiaohongshu.com/explore/6aba764c000000001b01c08b" TargetMode="External"/><Relationship Id="rIdSaSaSource140" Type="http://schemas.openxmlformats.org/officeDocument/2006/relationships/hyperlink" Target="https://www.xiaohongshu.com/explore/6aba764c000000001b01c08b" TargetMode="External"/><Relationship Id="rIdSaSaSource141" Type="http://schemas.openxmlformats.org/officeDocument/2006/relationships/hyperlink" Target="https://www.xiaohongshu.com/explore/6aba764c000000001b01c08b" TargetMode="External"/><Relationship Id="rIdSaSaSource142" Type="http://schemas.openxmlformats.org/officeDocument/2006/relationships/hyperlink" Target="https://www.xiaohongshu.com/explore/6aba764c000000001b01c08b" TargetMode="External"/><Relationship Id="rIdSaSaSource143" Type="http://schemas.openxmlformats.org/officeDocument/2006/relationships/hyperlink" Target="https://www.xiaohongshu.com/explore/6aba764c000000001b01c08b" TargetMode="External"/><Relationship Id="rIdSaSaSource144" Type="http://schemas.openxmlformats.org/officeDocument/2006/relationships/hyperlink" Target="https://www.xiaohongshu.com/explore/6aba764c000000001b01c08b" TargetMode="External"/><Relationship Id="rIdSaSaSource145" Type="http://schemas.openxmlformats.org/officeDocument/2006/relationships/hyperlink" Target="https://www.xiaohongshu.com/explore/6aba764c000000001b01c08b" TargetMode="External"/><Relationship Id="rIdSaSaSource146" Type="http://schemas.openxmlformats.org/officeDocument/2006/relationships/hyperlink" Target="https://www.xiaohongshu.com/explore/6aba764c000000001b01c08b" TargetMode="External"/><Relationship Id="rIdSaSaSource147" Type="http://schemas.openxmlformats.org/officeDocument/2006/relationships/hyperlink" Target="https://www.xiaohongshu.com/explore/6aba764c000000001b01c08b" TargetMode="External"/><Relationship Id="rIdSaSaSource148" Type="http://schemas.openxmlformats.org/officeDocument/2006/relationships/hyperlink" Target="https://www.xiaohongshu.com/explore/6aba764c000000001b01c08b" TargetMode="External"/><Relationship Id="rIdSaSaSource149" Type="http://schemas.openxmlformats.org/officeDocument/2006/relationships/hyperlink" Target="https://www.xiaohongshu.com/explore/6ad52f2a0000000029009b2b" TargetMode="External"/><Relationship Id="rIdSaSaSource150" Type="http://schemas.openxmlformats.org/officeDocument/2006/relationships/hyperlink" Target="https://www.xiaohongshu.com/explore/6ad52f2a0000000029009b2b" TargetMode="External"/><Relationship Id="rIdSaSaSource151" Type="http://schemas.openxmlformats.org/officeDocument/2006/relationships/hyperlink" Target="https://www.xiaohongshu.com/explore/6ad52f2a0000000029009b2b" TargetMode="External"/><Relationship Id="rIdSaSaSource152" Type="http://schemas.openxmlformats.org/officeDocument/2006/relationships/hyperlink" Target="https://www.instagram.com/reel/DeppGlOxgA4/" TargetMode="External"/><Relationship Id="rIdSaSaSource153" Type="http://schemas.openxmlformats.org/officeDocument/2006/relationships/hyperlink" Target="https://www.instagram.com/reel/DeppGlOxgA4/" TargetMode="External"/><Relationship Id="rIdSaSaSource154" Type="http://schemas.openxmlformats.org/officeDocument/2006/relationships/hyperlink" Target="https://www.instagram.com/reel/DeppGlOxgA4/" TargetMode="External"/><Relationship Id="rIdSaSaSource155" Type="http://schemas.openxmlformats.org/officeDocument/2006/relationships/hyperlink" Target="https://www.instagram.com/reel/DeppGlOxgA4/" TargetMode="External"/><Relationship Id="rIdSaSaSource156" Type="http://schemas.openxmlformats.org/officeDocument/2006/relationships/hyperlink" Target="https://www.instagram.com/reel/DeppGlOxgA4/" TargetMode="External"/><Relationship Id="rIdSaSaSource157" Type="http://schemas.openxmlformats.org/officeDocument/2006/relationships/hyperlink" Target="https://www.instagram.com/reel/DeppGlOxgA4/" TargetMode="External"/><Relationship Id="rIdSaSaSource158" Type="http://schemas.openxmlformats.org/officeDocument/2006/relationships/hyperlink" Target="https://www.instagram.com/reel/DeppGlOxgA4/" TargetMode="External"/><Relationship Id="rIdSaSaSource159" Type="http://schemas.openxmlformats.org/officeDocument/2006/relationships/hyperlink" Target="https://www.instagram.com/reel/DeppGlOxgA4/" TargetMode="External"/><Relationship Id="rIdSaSaSource160" Type="http://schemas.openxmlformats.org/officeDocument/2006/relationships/hyperlink" Target="https://www.instagram.com/reel/DeppGlOxgA4/" TargetMode="External"/><Relationship Id="rIdSaSaSource161" Type="http://schemas.openxmlformats.org/officeDocument/2006/relationships/hyperlink" Target="https://www.instagram.com/reel/DeppGlOxgA4/" TargetMode="External"/><Relationship Id="rIdSaSaSource162" Type="http://schemas.openxmlformats.org/officeDocument/2006/relationships/hyperlink" Target="https://www.instagram.com/reel/DeppGlOxgA4/" TargetMode="External"/><Relationship Id="rIdSaSaSource163" Type="http://schemas.openxmlformats.org/officeDocument/2006/relationships/hyperlink" Target="https://www.instagram.com/reel/DeppGlOxgA4/" TargetMode="External"/><Relationship Id="rIdSaSaSource164" Type="http://schemas.openxmlformats.org/officeDocument/2006/relationships/hyperlink" Target="https://www.instagram.com/reel/DeppGlOxgA4/" TargetMode="External"/><Relationship Id="rIdSaSaSource165" Type="http://schemas.openxmlformats.org/officeDocument/2006/relationships/hyperlink" Target="https://www.instagram.com/reel/DeppGlOxgA4/" TargetMode="External"/><Relationship Id="rIdSaSaSource166" Type="http://schemas.openxmlformats.org/officeDocument/2006/relationships/hyperlink" Target="https://www.instagram.com/reel/DeppGlOxgA4/" TargetMode="External"/><Relationship Id="rIdSaSaSource167" Type="http://schemas.openxmlformats.org/officeDocument/2006/relationships/hyperlink" Target="https://www.instagram.com/reel/DPRfaCiDD7n/" TargetMode="External"/><Relationship Id="rIdSaSaSource168" Type="http://schemas.openxmlformats.org/officeDocument/2006/relationships/hyperlink" Target="https://www.instagram.com/reel/DPRfaCiDD7n/" TargetMode="External"/><Relationship Id="rIdSaSaSource169" Type="http://schemas.openxmlformats.org/officeDocument/2006/relationships/hyperlink" Target="https://www.instagram.com/reel/DPRfaCiDD7n/" TargetMode="External"/><Relationship Id="rIdSaSaSource170" Type="http://schemas.openxmlformats.org/officeDocument/2006/relationships/hyperlink" Target="https://www.instagram.com/reel/DPRfaCiDD7n/" TargetMode="External"/><Relationship Id="rIdSaSaSource171" Type="http://schemas.openxmlformats.org/officeDocument/2006/relationships/hyperlink" Target="https://www.instagram.com/reel/DPRfaCiDD7n/" TargetMode="External"/><Relationship Id="rIdSaSaSource172" Type="http://schemas.openxmlformats.org/officeDocument/2006/relationships/hyperlink" Target="https://www.instagram.com/reel/DPRfaCiDD7n/" TargetMode="External"/><Relationship Id="rIdSaSaSource173" Type="http://schemas.openxmlformats.org/officeDocument/2006/relationships/hyperlink" Target="https://www.instagram.com/reel/DPRfaCiDD7n/" TargetMode="External"/><Relationship Id="rIdSaSaSource174" Type="http://schemas.openxmlformats.org/officeDocument/2006/relationships/hyperlink" Target="https://www.instagram.com/reel/DPRfaCiDD7n/" TargetMode="External"/><Relationship Id="rIdSaSaSource175" Type="http://schemas.openxmlformats.org/officeDocument/2006/relationships/hyperlink" Target="https://www.instagram.com/reel/DPRfaCiDD7n/" TargetMode="External"/><Relationship Id="rIdSaSaSource176" Type="http://schemas.openxmlformats.org/officeDocument/2006/relationships/hyperlink" Target="https://www.instagram.com/reel/DPRfaCiDD7n/" TargetMode="External"/><Relationship Id="rIdSaSaSource177" Type="http://schemas.openxmlformats.org/officeDocument/2006/relationships/hyperlink" Target="https://www.instagram.com/reel/DPRfaCiDD7n/" TargetMode="External"/><Relationship Id="rIdSaSaSource178" Type="http://schemas.openxmlformats.org/officeDocument/2006/relationships/hyperlink" Target="https://www.instagram.com/reel/DPRfaCiDD7n/" TargetMode="External"/><Relationship Id="rIdSaSaSource179" Type="http://schemas.openxmlformats.org/officeDocument/2006/relationships/hyperlink" Target="https://www.instagram.com/reel/DPRfaCiDD7n/" TargetMode="External"/><Relationship Id="rIdSaSaSource180" Type="http://schemas.openxmlformats.org/officeDocument/2006/relationships/hyperlink" Target="https://www.instagram.com/p/DA92M5qyQ9H/" TargetMode="External"/><Relationship Id="rIdSaSaSource181" Type="http://schemas.openxmlformats.org/officeDocument/2006/relationships/hyperlink" Target="https://www.instagram.com/p/DA92M5qyQ9H/" TargetMode="External"/><Relationship Id="rIdSaSaSource182" Type="http://schemas.openxmlformats.org/officeDocument/2006/relationships/hyperlink" Target="https://www.instagram.com/p/DA92M5qyQ9H/" TargetMode="External"/><Relationship Id="rIdSaSaSource183" Type="http://schemas.openxmlformats.org/officeDocument/2006/relationships/hyperlink" Target="https://www.instagram.com/p/DA92M5qyQ9H/" TargetMode="External"/><Relationship Id="rIdSaSaSource184" Type="http://schemas.openxmlformats.org/officeDocument/2006/relationships/hyperlink" Target="https://www.instagram.com/p/DA92M5qyQ9H/" TargetMode="External"/><Relationship Id="rIdSaSaSource185" Type="http://schemas.openxmlformats.org/officeDocument/2006/relationships/hyperlink" Target="https://www.instagram.com/p/DA92M5qyQ9H/" TargetMode="External"/><Relationship Id="rIdSaSaSource186" Type="http://schemas.openxmlformats.org/officeDocument/2006/relationships/hyperlink" Target="https://www.instagram.com/p/DA92M5qyQ9H/" TargetMode="External"/><Relationship Id="rIdSaSaSource187" Type="http://schemas.openxmlformats.org/officeDocument/2006/relationships/hyperlink" Target="https://www.instagram.com/p/DA92M5qyQ9H/" TargetMode="External"/><Relationship Id="rIdSaSaSource188" Type="http://schemas.openxmlformats.org/officeDocument/2006/relationships/hyperlink" Target="https://www.instagram.com/p/DA92M5qyQ9H/" TargetMode="External"/><Relationship Id="rIdSaSaSource189" Type="http://schemas.openxmlformats.org/officeDocument/2006/relationships/hyperlink" Target="https://www.instagram.com/p/DA92M5qyQ9H/" TargetMode="External"/><Relationship Id="rIdSaSaSource190" Type="http://schemas.openxmlformats.org/officeDocument/2006/relationships/hyperlink" Target="https://www.instagram.com/p/DA92M5qyQ9H/" TargetMode="External"/><Relationship Id="rIdSaSaSource191" Type="http://schemas.openxmlformats.org/officeDocument/2006/relationships/hyperlink" Target="https://www.instagram.com/p/DA92M5qyQ9H/" TargetMode="External"/><Relationship Id="rIdSaSaSource192" Type="http://schemas.openxmlformats.org/officeDocument/2006/relationships/hyperlink" Target="https://www.instagram.com/p/DA92M5qyQ9H/" TargetMode="External"/><Relationship Id="rIdSaSaSource193" Type="http://schemas.openxmlformats.org/officeDocument/2006/relationships/hyperlink" Target="https://www.instagram.com/p/DA92M5qyQ9H/" TargetMode="External"/><Relationship Id="rIdSaSaSource194" Type="http://schemas.openxmlformats.org/officeDocument/2006/relationships/hyperlink" Target="https://www.instagram.com/p/DA92M5qyQ9H/" TargetMode="External"/><Relationship Id="rIdSaSaSource195" Type="http://schemas.openxmlformats.org/officeDocument/2006/relationships/hyperlink" Target="https://www.instagram.com/reel/DAlrf28Njbf/" TargetMode="External"/><Relationship Id="rIdSaSaSource196" Type="http://schemas.openxmlformats.org/officeDocument/2006/relationships/hyperlink" Target="https://www.instagram.com/reel/DAlrf28Njbf/" TargetMode="External"/><Relationship Id="rIdSaSaSource197" Type="http://schemas.openxmlformats.org/officeDocument/2006/relationships/hyperlink" Target="https://www.instagram.com/reel/DAlrf28Njbf/" TargetMode="External"/><Relationship Id="rIdSaSaSource198" Type="http://schemas.openxmlformats.org/officeDocument/2006/relationships/hyperlink" Target="https://www.instagram.com/reel/DAlrf28Njbf/" TargetMode="External"/><Relationship Id="rIdSaSaSource199" Type="http://schemas.openxmlformats.org/officeDocument/2006/relationships/hyperlink" Target="https://www.instagram.com/reel/DAlrf28Njbf/" TargetMode="External"/><Relationship Id="rIdSaSaSource200" Type="http://schemas.openxmlformats.org/officeDocument/2006/relationships/hyperlink" Target="https://www.instagram.com/reel/DAlrf28Njbf/" TargetMode="External"/><Relationship Id="rIdSaSaSource201" Type="http://schemas.openxmlformats.org/officeDocument/2006/relationships/hyperlink" Target="https://www.instagram.com/reel/DAlrf28Njbf/" TargetMode="External"/><Relationship Id="rIdSaSaSource202" Type="http://schemas.openxmlformats.org/officeDocument/2006/relationships/hyperlink" Target="https://www.instagram.com/reel/DAlrf28Njbf/" TargetMode="External"/><Relationship Id="rIdSaSaSource203" Type="http://schemas.openxmlformats.org/officeDocument/2006/relationships/hyperlink" Target="https://www.instagram.com/reel/DAlrf28Njbf/" TargetMode="External"/><Relationship Id="rIdSaSaSource204" Type="http://schemas.openxmlformats.org/officeDocument/2006/relationships/hyperlink" Target="https://www.instagram.com/reel/DAlrf28Njbf/" TargetMode="External"/><Relationship Id="rIdSaSaSource205" Type="http://schemas.openxmlformats.org/officeDocument/2006/relationships/hyperlink" Target="https://www.instagram.com/reel/DAlrf28Njbf/" TargetMode="External"/><Relationship Id="rIdSaSaSource206" Type="http://schemas.openxmlformats.org/officeDocument/2006/relationships/hyperlink" Target="https://www.instagram.com/reel/DAlrf28Njbf/" TargetMode="External"/><Relationship Id="rIdSaSaSource207" Type="http://schemas.openxmlformats.org/officeDocument/2006/relationships/hyperlink" Target="https://www.instagram.com/reel/DBCK7wjpZKe/" TargetMode="External"/><Relationship Id="rIdSaSaSource208" Type="http://schemas.openxmlformats.org/officeDocument/2006/relationships/hyperlink" Target="https://www.instagram.com/reel/DBCK7wjpZKe/" TargetMode="External"/><Relationship Id="rIdSaSaSource209" Type="http://schemas.openxmlformats.org/officeDocument/2006/relationships/hyperlink" Target="https://www.instagram.com/reel/DBCK7wjpZKe/" TargetMode="External"/><Relationship Id="rIdSaSaSource210" Type="http://schemas.openxmlformats.org/officeDocument/2006/relationships/hyperlink" Target="https://www.instagram.com/reel/DBCK7wjpZKe/" TargetMode="External"/><Relationship Id="rIdSaSaSource211" Type="http://schemas.openxmlformats.org/officeDocument/2006/relationships/hyperlink" Target="https://www.instagram.com/reel/DBCK7wjpZKe/" TargetMode="External"/><Relationship Id="rIdSaSaSource212" Type="http://schemas.openxmlformats.org/officeDocument/2006/relationships/hyperlink" Target="https://www.instagram.com/reel/DBCK7wjpZKe/" TargetMode="External"/><Relationship Id="rIdSaSaSource213" Type="http://schemas.openxmlformats.org/officeDocument/2006/relationships/hyperlink" Target="https://www.instagram.com/reel/DBCK7wjpZKe/" TargetMode="External"/><Relationship Id="rIdSaSaSource214" Type="http://schemas.openxmlformats.org/officeDocument/2006/relationships/hyperlink" Target="https://www.instagram.com/reel/DBCK7wjpZKe/" TargetMode="External"/><Relationship Id="rIdSaSaSource215" Type="http://schemas.openxmlformats.org/officeDocument/2006/relationships/hyperlink" Target="https://www.instagram.com/reel/DBCK7wjpZKe/" TargetMode="External"/><Relationship Id="rIdSaSaSource216" Type="http://schemas.openxmlformats.org/officeDocument/2006/relationships/hyperlink" Target="https://www.instagram.com/reel/DBCK7wjpZKe/" TargetMode="External"/><Relationship Id="rIdSaSaSource217" Type="http://schemas.openxmlformats.org/officeDocument/2006/relationships/hyperlink" Target="https://www.instagram.com/reel/DBCK7wjpZKe/" TargetMode="External"/><Relationship Id="rIdSaSaSource218" Type="http://schemas.openxmlformats.org/officeDocument/2006/relationships/hyperlink" Target="https://www.instagram.com/reel/DBCK7wjpZKe/" TargetMode="External"/><Relationship Id="rIdSaSaSource219" Type="http://schemas.openxmlformats.org/officeDocument/2006/relationships/hyperlink" Target="https://www.instagram.com/reel/DBCK7wjpZKe/" TargetMode="External"/><Relationship Id="rIdSaSaSource220" Type="http://schemas.openxmlformats.org/officeDocument/2006/relationships/hyperlink" Target="https://www.instagram.com/reel/DBCK7wjpZKe/" TargetMode="External"/><Relationship Id="rIdSaSaSource221" Type="http://schemas.openxmlformats.org/officeDocument/2006/relationships/hyperlink" Target="https://www.instagram.com/reel/DBHO7-1CUzs/" TargetMode="External"/><Relationship Id="rIdSaSaSource222" Type="http://schemas.openxmlformats.org/officeDocument/2006/relationships/hyperlink" Target="https://www.instagram.com/reel/DBHO7-1CUzs/" TargetMode="External"/><Relationship Id="rIdSaSaSource223" Type="http://schemas.openxmlformats.org/officeDocument/2006/relationships/hyperlink" Target="https://www.instagram.com/reel/DBHO7-1CUzs/" TargetMode="External"/><Relationship Id="rIdSaSaSource224" Type="http://schemas.openxmlformats.org/officeDocument/2006/relationships/hyperlink" Target="https://www.instagram.com/reel/DBHO7-1CUzs/" TargetMode="External"/><Relationship Id="rIdSaSaSource225" Type="http://schemas.openxmlformats.org/officeDocument/2006/relationships/hyperlink" Target="https://www.instagram.com/reel/DBHO7-1CUzs/" TargetMode="External"/><Relationship Id="rIdSaSaSource226" Type="http://schemas.openxmlformats.org/officeDocument/2006/relationships/hyperlink" Target="https://www.instagram.com/reel/DBHO7-1CUzs/" TargetMode="External"/><Relationship Id="rIdSaSaSource227" Type="http://schemas.openxmlformats.org/officeDocument/2006/relationships/hyperlink" Target="https://www.instagram.com/reel/DBHO7-1CUzs/" TargetMode="External"/><Relationship Id="rIdSaSaSource228" Type="http://schemas.openxmlformats.org/officeDocument/2006/relationships/hyperlink" Target="https://www.instagram.com/reel/DBHO7-1CUzs/" TargetMode="External"/><Relationship Id="rIdSaSaSource229" Type="http://schemas.openxmlformats.org/officeDocument/2006/relationships/hyperlink" Target="https://www.instagram.com/reel/DBHO7-1CUzs/" TargetMode="External"/><Relationship Id="rIdSaSaSource230" Type="http://schemas.openxmlformats.org/officeDocument/2006/relationships/hyperlink" Target="https://www.instagram.com/reel/DBHO7-1CUzs/" TargetMode="External"/><Relationship Id="rIdSaSaSource231" Type="http://schemas.openxmlformats.org/officeDocument/2006/relationships/hyperlink" Target="https://www.instagram.com/reel/DBHO7-1CUzs/" TargetMode="External"/><Relationship Id="rIdSaSaSource232" Type="http://schemas.openxmlformats.org/officeDocument/2006/relationships/hyperlink" Target="https://www.instagram.com/reel/DBHO7-1CUzs/" TargetMode="External"/><Relationship Id="rIdSaSaSource233" Type="http://schemas.openxmlformats.org/officeDocument/2006/relationships/hyperlink" Target="https://www.instagram.com/reel/DBHO7-1CUzs/" TargetMode="External"/><Relationship Id="rIdSaSaSource234" Type="http://schemas.openxmlformats.org/officeDocument/2006/relationships/hyperlink" Target="https://www.instagram.com/reel/DBHO7-1CUzs/" TargetMode="External"/><Relationship Id="rIdSaSaSource235" Type="http://schemas.openxmlformats.org/officeDocument/2006/relationships/hyperlink" Target="https://www.instagram.com/reel/DBePt0ntGVD/" TargetMode="External"/><Relationship Id="rIdSaSaSource236" Type="http://schemas.openxmlformats.org/officeDocument/2006/relationships/hyperlink" Target="https://www.instagram.com/reel/DBePt0ntGVD/" TargetMode="External"/><Relationship Id="rIdSaSaSource237" Type="http://schemas.openxmlformats.org/officeDocument/2006/relationships/hyperlink" Target="https://www.instagram.com/reel/DBePt0ntGVD/" TargetMode="External"/><Relationship Id="rIdSaSaSource238" Type="http://schemas.openxmlformats.org/officeDocument/2006/relationships/hyperlink" Target="https://www.instagram.com/reel/DBePt0ntGVD/" TargetMode="External"/><Relationship Id="rIdSaSaSource239" Type="http://schemas.openxmlformats.org/officeDocument/2006/relationships/hyperlink" Target="https://www.instagram.com/reel/DBePt0ntGVD/" TargetMode="External"/><Relationship Id="rIdSaSaSource240" Type="http://schemas.openxmlformats.org/officeDocument/2006/relationships/hyperlink" Target="https://www.instagram.com/reel/DBePt0ntGVD/" TargetMode="External"/><Relationship Id="rIdSaSaSource241" Type="http://schemas.openxmlformats.org/officeDocument/2006/relationships/hyperlink" Target="https://www.instagram.com/reel/DBePt0ntGVD/" TargetMode="External"/><Relationship Id="rIdSaSaSource242" Type="http://schemas.openxmlformats.org/officeDocument/2006/relationships/hyperlink" Target="https://www.instagram.com/reel/DBePt0ntGVD/" TargetMode="External"/><Relationship Id="rIdSaSaSource243" Type="http://schemas.openxmlformats.org/officeDocument/2006/relationships/hyperlink" Target="https://www.instagram.com/reel/DBePt0ntGVD/" TargetMode="External"/><Relationship Id="rIdSaSaSource244" Type="http://schemas.openxmlformats.org/officeDocument/2006/relationships/hyperlink" Target="https://www.instagram.com/reel/DBePt0ntGVD/" TargetMode="External"/><Relationship Id="rIdSaSaSource245" Type="http://schemas.openxmlformats.org/officeDocument/2006/relationships/hyperlink" Target="https://www.instagram.com/reel/DBePt0ntGVD/" TargetMode="External"/><Relationship Id="rIdSaSaSource246" Type="http://schemas.openxmlformats.org/officeDocument/2006/relationships/hyperlink" Target="https://www.instagram.com/reel/DBePt0ntGVD/" TargetMode="External"/><Relationship Id="rIdSaSaSource247" Type="http://schemas.openxmlformats.org/officeDocument/2006/relationships/hyperlink" Target="https://www.instagram.com/reel/DBePt0ntGVD/" TargetMode="External"/><Relationship Id="rIdSaSaSource248" Type="http://schemas.openxmlformats.org/officeDocument/2006/relationships/hyperlink" Target="https://www.instagram.com/reel/DBePt0ntGVD/" TargetMode="External"/><Relationship Id="rIdSaSaSource249" Type="http://schemas.openxmlformats.org/officeDocument/2006/relationships/hyperlink" Target="https://www.instagram.com/reel/DBePt0ntGVD/" TargetMode="External"/><Relationship Id="rIdSaSaSource250" Type="http://schemas.openxmlformats.org/officeDocument/2006/relationships/hyperlink" Target="https://www.instagram.com/reel/DPg7zL-DB7o/" TargetMode="External"/><Relationship Id="rIdSaSaSource251" Type="http://schemas.openxmlformats.org/officeDocument/2006/relationships/hyperlink" Target="https://www.instagram.com/reel/DPg7zL-DB7o/" TargetMode="External"/><Relationship Id="rIdSaSaSource252" Type="http://schemas.openxmlformats.org/officeDocument/2006/relationships/hyperlink" Target="https://www.instagram.com/reel/DPg7zL-DB7o/" TargetMode="External"/><Relationship Id="rIdSaSaSource253" Type="http://schemas.openxmlformats.org/officeDocument/2006/relationships/hyperlink" Target="https://www.instagram.com/reel/DPg7zL-DB7o/" TargetMode="External"/><Relationship Id="rIdSaSaSource254" Type="http://schemas.openxmlformats.org/officeDocument/2006/relationships/hyperlink" Target="https://www.instagram.com/reel/DPg7zL-DB7o/" TargetMode="External"/><Relationship Id="rIdSaSaSource255" Type="http://schemas.openxmlformats.org/officeDocument/2006/relationships/hyperlink" Target="https://www.instagram.com/reel/DPg7zL-DB7o/" TargetMode="External"/><Relationship Id="rIdSaSaSource256" Type="http://schemas.openxmlformats.org/officeDocument/2006/relationships/hyperlink" Target="https://www.instagram.com/reel/DPg7zL-DB7o/" TargetMode="External"/><Relationship Id="rIdSaSaSource257" Type="http://schemas.openxmlformats.org/officeDocument/2006/relationships/hyperlink" Target="https://www.instagram.com/reel/DPg7zL-DB7o/" TargetMode="External"/><Relationship Id="rIdSaSaSource258" Type="http://schemas.openxmlformats.org/officeDocument/2006/relationships/hyperlink" Target="https://www.instagram.com/reel/DPg7zL-DB7o/" TargetMode="External"/><Relationship Id="rIdSaSaSource259" Type="http://schemas.openxmlformats.org/officeDocument/2006/relationships/hyperlink" Target="https://www.instagram.com/reel/DPg7zL-DB7o/" TargetMode="External"/><Relationship Id="rIdSaSaSource260" Type="http://schemas.openxmlformats.org/officeDocument/2006/relationships/hyperlink" Target="https://www.instagram.com/reel/DPg7zL-DB7o/" TargetMode="External"/><Relationship Id="rIdSaSaSource261" Type="http://schemas.openxmlformats.org/officeDocument/2006/relationships/hyperlink" Target="https://www.instagram.com/reel/DPg7zL-DB7o/" TargetMode="External"/><Relationship Id="rIdSaSaSource262" Type="http://schemas.openxmlformats.org/officeDocument/2006/relationships/hyperlink" Target="https://www.instagram.com/reel/DPg7zL-DB7o/" TargetMode="External"/><Relationship Id="rIdSaSaSource263" Type="http://schemas.openxmlformats.org/officeDocument/2006/relationships/hyperlink" Target="https://www.instagram.com/reel/DPg7zL-DB7o/" TargetMode="External"/><Relationship Id="rIdSaSaSource264" Type="http://schemas.openxmlformats.org/officeDocument/2006/relationships/hyperlink" Target="https://www.instagram.com/reel/DPg7zL-DB7o/" TargetMode="External"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3827fce0ec4c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00c52931fa45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d3babae91e48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11" t="str">
        <x:v>Sa Sa Halloween social listening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42" customHeight="1">
      <x:c r="A4" s="14" t="str">
        <x:v>Platform</x:v>
      </x:c>
      <x:c r="B4" s="14" t="str">
        <x:v>Posts attempted</x:v>
      </x:c>
      <x:c r="C4" s="14" t="str">
        <x:v>With comments</x:v>
      </x:c>
      <x:c r="D4" s="14" t="str">
        <x:v>Raw incl replies</x:v>
      </x:c>
      <x:c r="E4" s="14" t="str">
        <x:v>Valid</x:v>
      </x:c>
      <x:c r="F4" s="14" t="str">
        <x:v>Excluded</x:v>
      </x:c>
      <x:c r="G4" s="14" t="str">
        <x:v>Unclear</x:v>
      </x:c>
      <x:c r="H4" s="14" t="str">
        <x:v>Evidence pending</x:v>
      </x:c>
      <x:c r="I4" s="14" t="str">
        <x:v>Context replies</x:v>
      </x:c>
      <x:c r="J4" s="2"/>
      <x:c r="K4" s="2"/>
      <x:c r="L4" s="2"/>
      <x:c r="M4" s="2"/>
      <x:c r="N4" s="2"/>
      <x:c r="O4" s="2"/>
      <x:c r="P4" s="2"/>
      <x:c r="Q4" s="2"/>
    </x:row>
    <x:row r="5" ht="28" customHeight="1">
      <x:c r="A5" s="2" t="str">
        <x:v>Xiaohongshu</x:v>
      </x:c>
      <x:c r="B5" s="2" t="n">
        <x:v>12</x:v>
      </x:c>
      <x:c r="C5" s="2" t="n">
        <x:v>10</x:v>
      </x:c>
      <x:c r="D5" s="2" t="n">
        <x:v>117</x:v>
      </x:c>
      <x:c r="E5" s="2" t="n">
        <x:f>COUNTIFS('Coded_Comments'!$C$2:$C$265,A5,'Coded_Comments'!$D$2:$D$265,"valid")</x:f>
        <x:v>69</x:v>
      </x:c>
      <x:c r="F5" s="2" t="n">
        <x:f>COUNTIFS('Coded_Comments'!$C$2:$C$265,A5,'Coded_Comments'!$D$2:$D$265,"excluded")</x:f>
        <x:v>10</x:v>
      </x:c>
      <x:c r="G5" s="2" t="n">
        <x:f>COUNTIFS('Coded_Comments'!$C$2:$C$265,A5,'Coded_Comments'!$D$2:$D$265,"unclear")</x:f>
        <x:v>8</x:v>
      </x:c>
      <x:c r="H5" s="2" t="n">
        <x:f>COUNTIFS('Coded_Comments'!$C$2:$C$265,A5,'Coded_Comments'!$D$2:$D$265,"pending_evidence")</x:f>
        <x:v>0</x:v>
      </x:c>
      <x:c r="I5" s="2" t="n">
        <x:f>COUNTIFS('Coded_Comments'!$C$2:$C$265,A5,'Coded_Comments'!$D$2:$D$265,"context_reply")</x:f>
        <x:v>30</x:v>
      </x:c>
      <x:c r="J5" s="2"/>
      <x:c r="K5" s="2"/>
      <x:c r="L5" s="2"/>
      <x:c r="M5" s="2"/>
      <x:c r="N5" s="2"/>
      <x:c r="O5" s="2"/>
      <x:c r="P5" s="2"/>
      <x:c r="Q5" s="2"/>
    </x:row>
    <x:row r="6" ht="28" customHeight="1">
      <x:c r="A6" s="2" t="str">
        <x:v>Instagram</x:v>
      </x:c>
      <x:c r="B6" s="2" t="n">
        <x:v>12</x:v>
      </x:c>
      <x:c r="C6" s="2" t="n">
        <x:v>11</x:v>
      </x:c>
      <x:c r="D6" s="2" t="n">
        <x:v>147</x:v>
      </x:c>
      <x:c r="E6" s="2" t="n">
        <x:f>COUNTIFS('Coded_Comments'!$C$2:$C$265,A6,'Coded_Comments'!$D$2:$D$265,"valid")</x:f>
        <x:v>59</x:v>
      </x:c>
      <x:c r="F6" s="2" t="n">
        <x:f>COUNTIFS('Coded_Comments'!$C$2:$C$265,A6,'Coded_Comments'!$D$2:$D$265,"excluded")</x:f>
        <x:v>37</x:v>
      </x:c>
      <x:c r="G6" s="2" t="n">
        <x:f>COUNTIFS('Coded_Comments'!$C$2:$C$265,A6,'Coded_Comments'!$D$2:$D$265,"unclear")</x:f>
        <x:v>15</x:v>
      </x:c>
      <x:c r="H6" s="2" t="n">
        <x:f>COUNTIFS('Coded_Comments'!$C$2:$C$265,A6,'Coded_Comments'!$D$2:$D$265,"pending_evidence")</x:f>
        <x:v>36</x:v>
      </x:c>
      <x:c r="I6" s="2" t="n">
        <x:f>COUNTIFS('Coded_Comments'!$C$2:$C$265,A6,'Coded_Comments'!$D$2:$D$265,"context_reply")</x:f>
        <x:v>0</x:v>
      </x:c>
      <x:c r="J6" s="2"/>
      <x:c r="K6" s="2"/>
      <x:c r="L6" s="2"/>
      <x:c r="M6" s="2"/>
      <x:c r="N6" s="2"/>
      <x:c r="O6" s="2"/>
      <x:c r="P6" s="2"/>
      <x:c r="Q6" s="2"/>
    </x:row>
    <x:row r="7" ht="28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8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42" customHeight="1">
      <x:c r="A9" s="14" t="str">
        <x:v>Code</x:v>
      </x:c>
      <x:c r="B9" s="14" t="str">
        <x:v>Theme</x:v>
      </x:c>
      <x:c r="C9" s="14" t="str">
        <x:v>XHS comments</x:v>
      </x:c>
      <x:c r="D9" s="14" t="str">
        <x:v>XHS posts</x:v>
      </x:c>
      <x:c r="E9" s="14" t="str">
        <x:v>IG comments</x:v>
      </x:c>
      <x:c r="F9" s="14" t="str">
        <x:v>IG posts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42" customHeight="1">
      <x:c r="A10" s="4" t="str">
        <x:v>T1</x:v>
      </x:c>
      <x:c r="B10" s="4" t="str">
        <x:v>Character and visual effect</x:v>
      </x:c>
      <x:c r="C10" s="4" t="n">
        <x:f>COUNTIFS('Coded_Comments'!$C$2:$C$265,"Xiaohongshu",'Coded_Comments'!$D$2:$D$265,"valid",'Coded_Comments'!$I$2:$I$265,1)</x:f>
        <x:v>30</x:v>
      </x:c>
      <x:c r="D10" s="4" t="n">
        <x:f>COUNTIFS('Posts'!$B$2:$B$25,"Xiaohongshu",'Posts'!$L$2:$L$25,"&gt;0")</x:f>
        <x:v>8</x:v>
      </x:c>
      <x:c r="E10" s="4" t="n">
        <x:f>COUNTIFS('Coded_Comments'!$C$2:$C$265,"Instagram",'Coded_Comments'!$D$2:$D$265,"valid",'Coded_Comments'!$I$2:$I$265,1)</x:f>
        <x:v>45</x:v>
      </x:c>
      <x:c r="F10" s="4" t="n">
        <x:f>COUNTIFS('Posts'!$B$2:$B$25,"Instagram",'Posts'!$L$2:$L$25,"&gt;0")</x:f>
        <x:v>9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42" customHeight="1">
      <x:c r="A11" s="4" t="str">
        <x:v>T2</x:v>
      </x:c>
      <x:c r="B11" s="4" t="str">
        <x:v>Tutorial use, feedback and difficulty</x:v>
      </x:c>
      <x:c r="C11" s="4" t="n">
        <x:f>COUNTIFS('Coded_Comments'!$C$2:$C$265,"Xiaohongshu",'Coded_Comments'!$D$2:$D$265,"valid",'Coded_Comments'!$J$2:$J$265,1)</x:f>
        <x:v>8</x:v>
      </x:c>
      <x:c r="D11" s="4" t="n">
        <x:f>COUNTIFS('Posts'!$B$2:$B$25,"Xiaohongshu",'Posts'!$M$2:$M$25,"&gt;0")</x:f>
        <x:v>4</x:v>
      </x:c>
      <x:c r="E11" s="4" t="n">
        <x:f>COUNTIFS('Coded_Comments'!$C$2:$C$265,"Instagram",'Coded_Comments'!$D$2:$D$265,"valid",'Coded_Comments'!$J$2:$J$265,1)</x:f>
        <x:v>10</x:v>
      </x:c>
      <x:c r="F11" s="4" t="n">
        <x:f>COUNTIFS('Posts'!$B$2:$B$25,"Instagram",'Posts'!$M$2:$M$25,"&gt;0")</x:f>
        <x:v>4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42" customHeight="1">
      <x:c r="A12" s="4" t="str">
        <x:v>T3</x:v>
      </x:c>
      <x:c r="B12" s="4" t="str">
        <x:v>Makeup items and shades</x:v>
      </x:c>
      <x:c r="C12" s="4" t="n">
        <x:f>COUNTIFS('Coded_Comments'!$C$2:$C$265,"Xiaohongshu",'Coded_Comments'!$D$2:$D$265,"valid",'Coded_Comments'!$K$2:$K$265,1)</x:f>
        <x:v>10</x:v>
      </x:c>
      <x:c r="D12" s="4" t="n">
        <x:f>COUNTIFS('Posts'!$B$2:$B$25,"Xiaohongshu",'Posts'!$N$2:$N$25,"&gt;0")</x:f>
        <x:v>4</x:v>
      </x:c>
      <x:c r="E12" s="4" t="n">
        <x:f>COUNTIFS('Coded_Comments'!$C$2:$C$265,"Instagram",'Coded_Comments'!$D$2:$D$265,"valid",'Coded_Comments'!$K$2:$K$265,1)</x:f>
        <x:v>9</x:v>
      </x:c>
      <x:c r="F12" s="4" t="n">
        <x:f>COUNTIFS('Posts'!$B$2:$B$25,"Instagram",'Posts'!$N$2:$N$25,"&gt;0")</x:f>
        <x:v>3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42" customHeight="1">
      <x:c r="A13" s="4" t="str">
        <x:v>T4</x:v>
      </x:c>
      <x:c r="B13" s="4" t="str">
        <x:v>Price information and budget</x:v>
      </x:c>
      <x:c r="C13" s="4" t="n">
        <x:f>COUNTIFS('Coded_Comments'!$C$2:$C$265,"Xiaohongshu",'Coded_Comments'!$D$2:$D$265,"valid",'Coded_Comments'!$L$2:$L$265,1)</x:f>
        <x:v>7</x:v>
      </x:c>
      <x:c r="D13" s="4" t="n">
        <x:f>COUNTIFS('Posts'!$B$2:$B$25,"Xiaohongshu",'Posts'!$O$2:$O$25,"&gt;0")</x:f>
        <x:v>1</x:v>
      </x:c>
      <x:c r="E13" s="4" t="n">
        <x:f>COUNTIFS('Coded_Comments'!$C$2:$C$265,"Instagram",'Coded_Comments'!$D$2:$D$265,"valid",'Coded_Comments'!$L$2:$L$265,1)</x:f>
        <x:v>0</x:v>
      </x:c>
      <x:c r="F13" s="4" t="n">
        <x:f>COUNTIFS('Posts'!$B$2:$B$25,"Instagram",'Posts'!$O$2:$O$25,"&gt;0")</x:f>
        <x:v>0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42" customHeight="1">
      <x:c r="A14" s="4" t="str">
        <x:v>T5</x:v>
      </x:c>
      <x:c r="B14" s="4" t="str">
        <x:v>Single use, waste and reuse</x:v>
      </x:c>
      <x:c r="C14" s="4" t="n">
        <x:f>COUNTIFS('Coded_Comments'!$C$2:$C$265,"Xiaohongshu",'Coded_Comments'!$D$2:$D$265,"valid",'Coded_Comments'!$M$2:$M$265,1)</x:f>
        <x:v>0</x:v>
      </x:c>
      <x:c r="D14" s="4" t="n">
        <x:f>COUNTIFS('Posts'!$B$2:$B$25,"Xiaohongshu",'Posts'!$P$2:$P$25,"&gt;0")</x:f>
        <x:v>0</x:v>
      </x:c>
      <x:c r="E14" s="4" t="n">
        <x:f>COUNTIFS('Coded_Comments'!$C$2:$C$265,"Instagram",'Coded_Comments'!$D$2:$D$265,"valid",'Coded_Comments'!$M$2:$M$265,1)</x:f>
        <x:v>0</x:v>
      </x:c>
      <x:c r="F14" s="4" t="n">
        <x:f>COUNTIFS('Posts'!$B$2:$B$25,"Instagram",'Posts'!$P$2:$P$25,"&gt;0")</x:f>
        <x:v>0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42" customHeight="1">
      <x:c r="A15" s="4" t="str">
        <x:v>T6</x:v>
      </x:c>
      <x:c r="B15" s="4" t="str">
        <x:v>Using products already owned</x:v>
      </x:c>
      <x:c r="C15" s="4" t="n">
        <x:f>COUNTIFS('Coded_Comments'!$C$2:$C$265,"Xiaohongshu",'Coded_Comments'!$D$2:$D$265,"valid",'Coded_Comments'!$N$2:$N$265,1)</x:f>
        <x:v>0</x:v>
      </x:c>
      <x:c r="D15" s="4" t="n">
        <x:f>COUNTIFS('Posts'!$B$2:$B$25,"Xiaohongshu",'Posts'!$Q$2:$Q$25,"&gt;0")</x:f>
        <x:v>0</x:v>
      </x:c>
      <x:c r="E15" s="4" t="n">
        <x:f>COUNTIFS('Coded_Comments'!$C$2:$C$265,"Instagram",'Coded_Comments'!$D$2:$D$265,"valid",'Coded_Comments'!$N$2:$N$265,1)</x:f>
        <x:v>0</x:v>
      </x:c>
      <x:c r="F15" s="4" t="n">
        <x:f>COUNTIFS('Posts'!$B$2:$B$25,"Instagram",'Posts'!$Q$2:$Q$25,"&gt;0")</x:f>
        <x:v>0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42" customHeight="1">
      <x:c r="A16" s="4" t="str">
        <x:v>T7</x:v>
      </x:c>
      <x:c r="B16" s="4" t="str">
        <x:v>Product/material sourcing</x:v>
      </x:c>
      <x:c r="C16" s="4" t="n">
        <x:f>COUNTIFS('Coded_Comments'!$C$2:$C$265,"Xiaohongshu",'Coded_Comments'!$D$2:$D$265,"valid",'Coded_Comments'!$O$2:$O$265,1)</x:f>
        <x:v>2</x:v>
      </x:c>
      <x:c r="D16" s="4" t="n">
        <x:f>COUNTIFS('Posts'!$B$2:$B$25,"Xiaohongshu",'Posts'!$R$2:$R$25,"&gt;0")</x:f>
        <x:v>2</x:v>
      </x:c>
      <x:c r="E16" s="4" t="n">
        <x:f>COUNTIFS('Coded_Comments'!$C$2:$C$265,"Instagram",'Coded_Comments'!$D$2:$D$265,"valid",'Coded_Comments'!$O$2:$O$265,1)</x:f>
        <x:v>1</x:v>
      </x:c>
      <x:c r="F16" s="4" t="n">
        <x:f>COUNTIFS('Posts'!$B$2:$B$25,"Instagram",'Posts'!$R$2:$R$25,"&gt;0")</x:f>
        <x:v>1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42" customHeight="1">
      <x:c r="A17" s="4" t="str">
        <x:v>T8</x:v>
      </x:c>
      <x:c r="B17" s="4" t="str">
        <x:v>Other observed needs and concerns</x:v>
      </x:c>
      <x:c r="C17" s="4" t="n">
        <x:f>COUNTIFS('Coded_Comments'!$C$2:$C$265,"Xiaohongshu",'Coded_Comments'!$D$2:$D$265,"valid",'Coded_Comments'!$P$2:$P$265,1)</x:f>
        <x:v>26</x:v>
      </x:c>
      <x:c r="D17" s="4" t="n">
        <x:f>COUNTIFS('Posts'!$B$2:$B$25,"Xiaohongshu",'Posts'!$S$2:$S$25,"&gt;0")</x:f>
        <x:v>6</x:v>
      </x:c>
      <x:c r="E17" s="4" t="n">
        <x:f>COUNTIFS('Coded_Comments'!$C$2:$C$265,"Instagram",'Coded_Comments'!$D$2:$D$265,"valid",'Coded_Comments'!$P$2:$P$265,1)</x:f>
        <x:v>5</x:v>
      </x:c>
      <x:c r="F17" s="4" t="n">
        <x:f>COUNTIFS('Posts'!$B$2:$B$25,"Instagram",'Posts'!$S$2:$S$25,"&gt;0")</x:f>
        <x:v>3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2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8" customHeight="1">
      <x:c r="A20" s="2" t="str">
        <x:v>Denominators: 69 XHS and 59 Instagram valid comments. Multiple themes per comment.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8" customHeight="1">
      <x:c r="A22" s="2" t="str">
        <x:v>Not representative samples; platform differences are not population differences.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2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</x:sheetData>
  <x:pageMargins left="0.7" right="0.7" top="0.75" bottom="0.75" header="0.3" footer="0.3"/>
  <x:drawing xmlns:r="http://schemas.openxmlformats.org/officeDocument/2006/relationships" r:id="R3aaa4bea30f94758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0" hidden="0" customWidth="1"/>
    <x:col min="2" max="2" width="65" hidden="0" customWidth="1"/>
    <x:col min="3" max="3" width="70" hidden="0" customWidth="1"/>
    <x:col min="4" max="4" width="75" hidden="0" customWidth="1"/>
  </x:cols>
  <x:sheetData>
    <x:row r="1" ht="42" customHeight="1">
      <x:c r="A1" s="10" t="str">
        <x:v>Finding</x:v>
      </x:c>
      <x:c r="B1" s="10" t="str">
        <x:v>Evidence IDs</x:v>
      </x:c>
      <x:c r="C1" s="10" t="str">
        <x:v>Campaign implication</x:v>
      </x:c>
      <x:c r="D1" s="10" t="str">
        <x:v>Counterevidence and uncertainty</x:v>
      </x:c>
    </x:row>
    <x:row r="2" ht="38" customHeight="1">
      <x:c r="A2" s="6" t="str">
        <x:v>Specific product and technique questions</x:v>
      </x:c>
      <x:c r="B2" s="6" t="str">
        <x:v>instagram_18043406819033229; instagram_18039535139177694; instagram_18060435187776402</x:v>
      </x:c>
      <x:c r="C2" s="6" t="str">
        <x:v>Retain Hero Product identification and show the application steps, shades and amount used.</x:v>
      </x:c>
      <x:c r="D2" s="6" t="str">
        <x:v>Enquiries do not demonstrate purchase intention or establish that exactly one product is sufficient.</x:v>
      </x:c>
    </x:row>
    <x:row r="3" ht="38" customHeight="1">
      <x:c r="A3" s="6" t="str">
        <x:v>Three comments challenge an easy-look claim on one tutorial</x:v>
      </x:c>
      <x:c r="B3" s="6" t="str">
        <x:v>instagram_18331881349233519; instagram_17882701308287511; instagram_17997080750841342</x:v>
      </x:c>
      <x:c r="C3" s="6" t="str">
        <x:v>Offer beginner and advanced versions, practice guidance and realistic time estimates.</x:v>
      </x:c>
      <x:c r="D3" s="6" t="str">
        <x:v>Three comments on one post are not three independent market estimates; no causal conversion evidence.</x:v>
      </x:c>
    </x:row>
    <x:row r="4" ht="38" customHeight="1">
      <x:c r="A4" s="6" t="str">
        <x:v>Limited owned makeup inventory prompts a request for tips</x:v>
      </x:c>
      <x:c r="B4" s="6" t="str">
        <x:v>instagram_18360857530083720</x:v>
      </x:c>
      <x:c r="C4" s="6" t="str">
        <x:v>Include an owned-product checklist and distinguish essential additions from optional upgrades.</x:v>
      </x:c>
      <x:c r="D4" s="6" t="str">
        <x:v>This comment does not explicitly reject buying or prove consumers prefer reuse.</x:v>
      </x:c>
    </x:row>
    <x:row r="5" ht="38" customHeight="1">
      <x:c r="A5" s="6" t="str">
        <x:v>A coser would buy one or two additions for the desired look</x:v>
      </x:c>
      <x:c r="B5" s="6" t="str">
        <x:v>INT01-S1 to INT01-S6</x:v>
      </x:c>
      <x:c r="C5" s="6" t="str">
        <x:v>Explain the visible contribution of a small number of additions.</x:v>
      </x:c>
      <x:c r="D5" s="6" t="str">
        <x:v>User-provided interview summary n=1; not a transcript or general consumer estimate.</x:v>
      </x:c>
    </x:row>
    <x:row r="6" ht="38" customHeight="1">
      <x:c r="A6" s="6" t="str">
        <x:v>Price enquiries in existing XHS sample concern makeup services</x:v>
      </x:c>
      <x:c r="B6" s="6" t="str">
        <x:v>XHS_P01 comments; T4</x:v>
      </x:c>
      <x:c r="C6" s="6" t="str">
        <x:v>Keep service demand separate from cosmetics pricing; treat service ideas as exploratory.</x:v>
      </x:c>
      <x:c r="D6" s="6" t="str">
        <x:v>No evidence that product-price objections are common. No coded waste/reuse theme does not mean no such concern exists.</x:v>
      </x:c>
    </x:row>
    <x:row r="7" ht="38" customHeight="1">
      <x:c r="A7" s="6" t="str">
        <x:v>No direct evaluation of proposed AR or reward mechanisms</x:v>
      </x:c>
      <x:c r="B7" s="6" t="str">
        <x:v>All reviewed comments and INT01</x:v>
      </x:c>
      <x:c r="C7" s="6" t="str">
        <x:v>Keep AR, role cards and photobooth/sharing rewards as testable campaign proposals.</x:v>
      </x:c>
      <x:c r="D7" s="6" t="str">
        <x:v>Do not claim this study validates their sales effect.</x:v>
      </x:c>
    </x:row>
  </x:sheetData>
  <x:pageMargins left="0.7" right="0.7" top="0.75" bottom="0.75" header="0.3" footer="0.3"/>
  <x:tableParts count="1">
    <x:tablePart xmlns:r="http://schemas.openxmlformats.org/officeDocument/2006/relationships" r:id="Rfcd56dbb81244b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7" hidden="0" customWidth="1"/>
    <x:col min="2" max="2" width="34" hidden="0" customWidth="1"/>
    <x:col min="3" max="3" width="18" hidden="0" customWidth="1"/>
    <x:col min="4" max="4" width="22" hidden="0" customWidth="1"/>
    <x:col min="5" max="5" width="60" hidden="0" customWidth="1"/>
    <x:col min="6" max="6" width="50" hidden="0" customWidth="1"/>
    <x:col min="7" max="7" width="55" hidden="0" customWidth="1"/>
    <x:col min="8" max="8" width="65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30" hidden="0" customWidth="1"/>
    <x:col min="18" max="18" width="15" hidden="0" customWidth="1"/>
    <x:col min="19" max="19" width="25" hidden="0" customWidth="1"/>
    <x:col min="20" max="20" width="30" hidden="0" customWidth="1"/>
    <x:col min="21" max="21" width="65" hidden="0" customWidth="1"/>
    <x:col min="22" max="22" width="65" hidden="0" customWidth="1"/>
    <x:col min="23" max="23" width="27" hidden="0" customWidth="1"/>
    <x:col min="24" max="24" width="50" hidden="0" customWidth="1"/>
    <x:col min="25" max="25" width="20" hidden="0" customWidth="1"/>
  </x:cols>
  <x:sheetData>
    <x:row r="1" ht="42" customHeight="1">
      <x:c r="A1" s="10" t="str">
        <x:v>Comment ID</x:v>
      </x:c>
      <x:c r="B1" s="10" t="str">
        <x:v>Post ID</x:v>
      </x:c>
      <x:c r="C1" s="10" t="str">
        <x:v>Platform</x:v>
      </x:c>
      <x:c r="D1" s="10" t="str">
        <x:v>Status</x:v>
      </x:c>
      <x:c r="E1" s="10" t="str">
        <x:v>Clean display text</x:v>
      </x:c>
      <x:c r="F1" s="10" t="str">
        <x:v>English gloss</x:v>
      </x:c>
      <x:c r="G1" s="10" t="str">
        <x:v>Evidence excerpt</x:v>
      </x:c>
      <x:c r="H1" s="10" t="str">
        <x:v>Review notes</x:v>
      </x:c>
      <x:c r="I1" s="10" t="str">
        <x:v>T1</x:v>
      </x:c>
      <x:c r="J1" s="10" t="str">
        <x:v>T2</x:v>
      </x:c>
      <x:c r="K1" s="10" t="str">
        <x:v>T3</x:v>
      </x:c>
      <x:c r="L1" s="10" t="str">
        <x:v>T4</x:v>
      </x:c>
      <x:c r="M1" s="10" t="str">
        <x:v>T5</x:v>
      </x:c>
      <x:c r="N1" s="10" t="str">
        <x:v>T6</x:v>
      </x:c>
      <x:c r="O1" s="10" t="str">
        <x:v>T7</x:v>
      </x:c>
      <x:c r="P1" s="10" t="str">
        <x:v>T8</x:v>
      </x:c>
      <x:c r="Q1" s="10" t="str">
        <x:v>Level</x:v>
      </x:c>
      <x:c r="R1" s="10" t="str">
        <x:v>Comment year</x:v>
      </x:c>
      <x:c r="S1" s="10" t="str">
        <x:v>Season relation</x:v>
      </x:c>
      <x:c r="T1" s="10" t="str">
        <x:v>Exact datetime</x:v>
      </x:c>
      <x:c r="U1" s="10" t="str">
        <x:v>Evidence source</x:v>
      </x:c>
      <x:c r="V1" s="10" t="str">
        <x:v>Screenshot</x:v>
      </x:c>
      <x:c r="W1" s="10" t="str">
        <x:v>Engagement</x:v>
      </x:c>
      <x:c r="X1" s="10" t="str">
        <x:v>Purchase evidence</x:v>
      </x:c>
      <x:c r="Y1" s="10" t="str">
        <x:v>Repeat sensitivity</x:v>
      </x:c>
    </x:row>
    <x:row r="2" ht="38" customHeight="1">
      <x:c r="A2" s="6" t="str">
        <x:v>XHS_P01_C01</x:v>
      </x:c>
      <x:c r="B2" s="6" t="str">
        <x:v>XHS_P01</x:v>
      </x:c>
      <x:c r="C2" s="6" t="str">
        <x:v>Xiaohongshu</x:v>
      </x:c>
      <x:c r="D2" s="6" t="str">
        <x:v>valid</x:v>
      </x:c>
      <x:c r="E2" s="6" t="str">
        <x:v>問價</x:v>
      </x:c>
      <x:c r="F2" s="6" t="str">
        <x:v>Asking the price.</x:v>
      </x:c>
      <x:c r="G2" s="6" t="str">
        <x:v>問價</x:v>
      </x:c>
      <x:c r="H2" s="6" t="str">
        <x:v>Pinned comment. Explicit price inquiry only; no stated price objection or purchase commitment.</x:v>
      </x:c>
      <x:c r="I2" s="6" t="n">
        <x:v>0</x:v>
      </x:c>
      <x:c r="J2" s="6" t="n">
        <x:v>0</x:v>
      </x:c>
      <x:c r="K2" s="6" t="n">
        <x:v>0</x:v>
      </x:c>
      <x:c r="L2" s="6" t="n">
        <x:v>1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str">
        <x:v>top_level</x:v>
      </x:c>
      <x:c r="R2" s="6" t="str">
        <x:v>2026</x:v>
      </x:c>
      <x:c r="S2" s="6" t="str">
        <x:v>unknown_exact_date</x:v>
      </x:c>
      <x:c r="T2" s="6" t="str"/>
      <x:c r="U2" s="6" t="str">
        <x:v>RESEARCH_WORKSPACE/Outputs/SaSa_Section_2_2/support/browser_evidence/XHS_P01_full.txt</x:v>
      </x:c>
      <x:c r="V2" s="6" t="str"/>
      <x:c r="W2" s="6" t="str">
        <x:v>information_request</x:v>
      </x:c>
      <x:c r="X2" s="6" t="str">
        <x:v>No verified purchase; do not infer intent from inquiry</x:v>
      </x:c>
      <x:c r="Y2" s="7" t="b">
        <x:v>0</x:v>
      </x:c>
    </x:row>
    <x:row r="3" ht="38" customHeight="1">
      <x:c r="A3" s="6" t="str">
        <x:v>XHS_P01_R01</x:v>
      </x:c>
      <x:c r="B3" s="6" t="str">
        <x:v>XHS_P01</x:v>
      </x:c>
      <x:c r="C3" s="6" t="str">
        <x:v>Xiaohongshu</x:v>
      </x:c>
      <x:c r="D3" s="6" t="str">
        <x:v>context_reply</x:v>
      </x:c>
      <x:c r="E3" s="6" t="str">
        <x:v>来了</x:v>
      </x:c>
      <x:c r="F3" s="6" t="str">
        <x:v>Here / responding.</x:v>
      </x:c>
      <x:c r="G3" s="6" t="str">
        <x:v>来了</x:v>
      </x:c>
      <x:c r="H3" s="6" t="str">
        <x:v>Explicit 作者 badge in saved page; response contextualizes the parent only. No consumer-demand evidence.</x:v>
      </x:c>
      <x:c r="I3" s="6" t="n">
        <x:v>0</x:v>
      </x:c>
      <x:c r="J3" s="6" t="n">
        <x:v>0</x:v>
      </x:c>
      <x:c r="K3" s="6" t="n">
        <x:v>0</x:v>
      </x:c>
      <x:c r="L3" s="6" t="n">
        <x:v>0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str">
        <x:v>creator_reply</x:v>
      </x:c>
      <x:c r="R3" s="6" t="str">
        <x:v>2026</x:v>
      </x:c>
      <x:c r="S3" s="6" t="str">
        <x:v>unknown_exact_date</x:v>
      </x:c>
      <x:c r="T3" s="6" t="str"/>
      <x:c r="U3" s="6" t="str">
        <x:v>RESEARCH_WORKSPACE/Outputs/SaSa_Section_2_2/support/browser_evidence/XHS_P01_full.txt</x:v>
      </x:c>
      <x:c r="V3" s="6" t="str"/>
      <x:c r="W3" s="6" t="str">
        <x:v>creator_response</x:v>
      </x:c>
      <x:c r="X3" s="6" t="str">
        <x:v>No verified purchase; do not infer intent from inquiry</x:v>
      </x:c>
      <x:c r="Y3" s="7" t="b">
        <x:v>0</x:v>
      </x:c>
    </x:row>
    <x:row r="4" ht="38" customHeight="1">
      <x:c r="A4" s="6" t="str">
        <x:v>XHS_P01_C02</x:v>
      </x:c>
      <x:c r="B4" s="6" t="str">
        <x:v>XHS_P01</x:v>
      </x:c>
      <x:c r="C4" s="6" t="str">
        <x:v>Xiaohongshu</x:v>
      </x:c>
      <x:c r="D4" s="6" t="str">
        <x:v>valid</x:v>
      </x:c>
      <x:c r="E4" s="6" t="str">
        <x:v>亚洲国际博览馆附近可约吗</x:v>
      </x:c>
      <x:c r="F4" s="6" t="str">
        <x:v>Can I book near AsiaWorld-Expo?</x:v>
      </x:c>
      <x:c r="G4" s="6" t="str">
        <x:v>附近可约吗</x:v>
      </x:c>
      <x:c r="H4" s="6" t="str">
        <x:v>Asks service booking availability near a venue, not product stock or retail access.</x:v>
      </x:c>
      <x:c r="I4" s="6" t="n">
        <x:v>0</x:v>
      </x:c>
      <x:c r="J4" s="6" t="n">
        <x:v>0</x:v>
      </x:c>
      <x:c r="K4" s="6" t="n">
        <x:v>0</x:v>
      </x:c>
      <x:c r="L4" s="6" t="n">
        <x:v>0</x:v>
      </x:c>
      <x:c r="M4" s="6" t="n">
        <x:v>0</x:v>
      </x:c>
      <x:c r="N4" s="6" t="n">
        <x:v>0</x:v>
      </x:c>
      <x:c r="O4" s="6" t="n">
        <x:v>0</x:v>
      </x:c>
      <x:c r="P4" s="6" t="n">
        <x:v>1</x:v>
      </x:c>
      <x:c r="Q4" s="6" t="str">
        <x:v>top_level</x:v>
      </x:c>
      <x:c r="R4" s="6" t="str">
        <x:v>unknown</x:v>
      </x:c>
      <x:c r="S4" s="6" t="str">
        <x:v>unknown</x:v>
      </x:c>
      <x:c r="T4" s="6" t="str"/>
      <x:c r="U4" s="6" t="str">
        <x:v>RESEARCH_WORKSPACE/Outputs/SaSa_Section_2_2/support/browser_evidence/XHS_P01_full.txt</x:v>
      </x:c>
      <x:c r="V4" s="6" t="str"/>
      <x:c r="W4" s="6" t="str">
        <x:v>information_request</x:v>
      </x:c>
      <x:c r="X4" s="6" t="str">
        <x:v>No verified purchase; do not infer intent from inquiry</x:v>
      </x:c>
      <x:c r="Y4" s="7" t="b">
        <x:v>0</x:v>
      </x:c>
    </x:row>
    <x:row r="5" ht="38" customHeight="1">
      <x:c r="A5" s="6" t="str">
        <x:v>XHS_P01_R02</x:v>
      </x:c>
      <x:c r="B5" s="6" t="str">
        <x:v>XHS_P01</x:v>
      </x:c>
      <x:c r="C5" s="6" t="str">
        <x:v>Xiaohongshu</x:v>
      </x:c>
      <x:c r="D5" s="6" t="str">
        <x:v>context_reply</x:v>
      </x:c>
      <x:c r="E5" s="6" t="str">
        <x:v>私</x:v>
      </x:c>
      <x:c r="F5" s="6" t="str">
        <x:v>Private message.</x:v>
      </x:c>
      <x:c r="G5" s="6" t="str">
        <x:v>私</x:v>
      </x:c>
      <x:c r="H5" s="6" t="str">
        <x:v>Explicit 作者 badge in saved page; response contextualizes the parent only. No consumer-demand evidence.</x:v>
      </x:c>
      <x:c r="I5" s="6" t="n">
        <x:v>0</x:v>
      </x:c>
      <x:c r="J5" s="6" t="n">
        <x:v>0</x:v>
      </x:c>
      <x:c r="K5" s="6" t="n">
        <x:v>0</x:v>
      </x:c>
      <x:c r="L5" s="6" t="n">
        <x:v>0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str">
        <x:v>creator_reply</x:v>
      </x:c>
      <x:c r="R5" s="6" t="str">
        <x:v>unknown</x:v>
      </x:c>
      <x:c r="S5" s="6" t="str">
        <x:v>unknown</x:v>
      </x:c>
      <x:c r="T5" s="6" t="str"/>
      <x:c r="U5" s="6" t="str">
        <x:v>RESEARCH_WORKSPACE/Outputs/SaSa_Section_2_2/support/browser_evidence/XHS_P01_full.txt</x:v>
      </x:c>
      <x:c r="V5" s="6" t="str"/>
      <x:c r="W5" s="6" t="str">
        <x:v>creator_response</x:v>
      </x:c>
      <x:c r="X5" s="6" t="str">
        <x:v>No verified purchase; do not infer intent from inquiry</x:v>
      </x:c>
      <x:c r="Y5" s="7" t="b">
        <x:v>0</x:v>
      </x:c>
    </x:row>
    <x:row r="6" ht="38" customHeight="1">
      <x:c r="A6" s="6" t="str">
        <x:v>XHS_P01_C03</x:v>
      </x:c>
      <x:c r="B6" s="6" t="str">
        <x:v>XHS_P01</x:v>
      </x:c>
      <x:c r="C6" s="6" t="str">
        <x:v>Xiaohongshu</x:v>
      </x:c>
      <x:c r="D6" s="6" t="str">
        <x:v>valid</x:v>
      </x:c>
      <x:c r="E6" s="6" t="str">
        <x:v>问价，机场附近</x:v>
      </x:c>
      <x:c r="F6" s="6" t="str">
        <x:v>Asking the price, near the airport.</x:v>
      </x:c>
      <x:c r="G6" s="6" t="str">
        <x:v>问价，机场附近</x:v>
      </x:c>
      <x:c r="H6" s="6" t="str">
        <x:v>Price inquiry with service location context; no evidence that price is unaffordable.</x:v>
      </x:c>
      <x:c r="I6" s="6" t="n">
        <x:v>0</x:v>
      </x:c>
      <x:c r="J6" s="6" t="n">
        <x:v>0</x:v>
      </x:c>
      <x:c r="K6" s="6" t="n">
        <x:v>0</x:v>
      </x:c>
      <x:c r="L6" s="6" t="n">
        <x:v>1</x:v>
      </x:c>
      <x:c r="M6" s="6" t="n">
        <x:v>0</x:v>
      </x:c>
      <x:c r="N6" s="6" t="n">
        <x:v>0</x:v>
      </x:c>
      <x:c r="O6" s="6" t="n">
        <x:v>0</x:v>
      </x:c>
      <x:c r="P6" s="6" t="n">
        <x:v>1</x:v>
      </x:c>
      <x:c r="Q6" s="6" t="str">
        <x:v>top_level</x:v>
      </x:c>
      <x:c r="R6" s="6" t="str">
        <x:v>2026</x:v>
      </x:c>
      <x:c r="S6" s="6" t="str">
        <x:v>unknown_exact_date</x:v>
      </x:c>
      <x:c r="T6" s="6" t="str"/>
      <x:c r="U6" s="6" t="str">
        <x:v>RESEARCH_WORKSPACE/Outputs/SaSa_Section_2_2/support/browser_evidence/XHS_P01_full.txt</x:v>
      </x:c>
      <x:c r="V6" s="6" t="str"/>
      <x:c r="W6" s="6" t="str">
        <x:v>information_request</x:v>
      </x:c>
      <x:c r="X6" s="6" t="str">
        <x:v>No verified purchase; do not infer intent from inquiry</x:v>
      </x:c>
      <x:c r="Y6" s="7" t="b">
        <x:v>0</x:v>
      </x:c>
    </x:row>
    <x:row r="7" ht="38" customHeight="1">
      <x:c r="A7" s="6" t="str">
        <x:v>XHS_P01_R03</x:v>
      </x:c>
      <x:c r="B7" s="6" t="str">
        <x:v>XHS_P01</x:v>
      </x:c>
      <x:c r="C7" s="6" t="str">
        <x:v>Xiaohongshu</x:v>
      </x:c>
      <x:c r="D7" s="6" t="str">
        <x:v>context_reply</x:v>
      </x:c>
      <x:c r="E7" s="6" t="str">
        <x:v>化什么的妆造 有图吗</x:v>
      </x:c>
      <x:c r="F7" s="6" t="str">
        <x:v>What makeup look would you like? Do you have a picture?</x:v>
      </x:c>
      <x:c r="G7" s="6" t="str">
        <x:v>化什么的妆造 有图吗</x:v>
      </x:c>
      <x:c r="H7" s="6" t="str">
        <x:v>Explicit 作者 badge in saved page; response contextualizes the parent only. No consumer-demand evidence.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str">
        <x:v>creator_reply</x:v>
      </x:c>
      <x:c r="R7" s="6" t="str">
        <x:v>2026</x:v>
      </x:c>
      <x:c r="S7" s="6" t="str">
        <x:v>unknown_exact_date</x:v>
      </x:c>
      <x:c r="T7" s="6" t="str"/>
      <x:c r="U7" s="6" t="str">
        <x:v>RESEARCH_WORKSPACE/Outputs/SaSa_Section_2_2/support/browser_evidence/XHS_P01_full.txt</x:v>
      </x:c>
      <x:c r="V7" s="6" t="str"/>
      <x:c r="W7" s="6" t="str">
        <x:v>creator_response</x:v>
      </x:c>
      <x:c r="X7" s="6" t="str">
        <x:v>No verified purchase; do not infer intent from inquiry</x:v>
      </x:c>
      <x:c r="Y7" s="7" t="b">
        <x:v>0</x:v>
      </x:c>
    </x:row>
    <x:row r="8" ht="38" customHeight="1">
      <x:c r="A8" s="6" t="str">
        <x:v>XHS_P01_C04</x:v>
      </x:c>
      <x:c r="B8" s="6" t="str">
        <x:v>XHS_P01</x:v>
      </x:c>
      <x:c r="C8" s="6" t="str">
        <x:v>Xiaohongshu</x:v>
      </x:c>
      <x:c r="D8" s="6" t="str">
        <x:v>valid</x:v>
      </x:c>
      <x:c r="E8" s="6" t="str">
        <x:v>屋企上門可以嗎？</x:v>
      </x:c>
      <x:c r="F8" s="6" t="str">
        <x:v>Can you come to my home?</x:v>
      </x:c>
      <x:c r="G8" s="6" t="str">
        <x:v>上門可以嗎</x:v>
      </x:c>
      <x:c r="H8" s="6" t="str">
        <x:v>Asks service delivery mode/access. Does not identify user residence.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1</x:v>
      </x:c>
      <x:c r="Q8" s="6" t="str">
        <x:v>top_level</x:v>
      </x:c>
      <x:c r="R8" s="6" t="str">
        <x:v>2026</x:v>
      </x:c>
      <x:c r="S8" s="6" t="str">
        <x:v>unknown_exact_date</x:v>
      </x:c>
      <x:c r="T8" s="6" t="str"/>
      <x:c r="U8" s="6" t="str">
        <x:v>RESEARCH_WORKSPACE/Outputs/SaSa_Section_2_2/support/browser_evidence/XHS_P01_full.txt</x:v>
      </x:c>
      <x:c r="V8" s="6" t="str"/>
      <x:c r="W8" s="6" t="str">
        <x:v>information_request</x:v>
      </x:c>
      <x:c r="X8" s="6" t="str">
        <x:v>No verified purchase; do not infer intent from inquiry</x:v>
      </x:c>
      <x:c r="Y8" s="7" t="b">
        <x:v>0</x:v>
      </x:c>
    </x:row>
    <x:row r="9" ht="38" customHeight="1">
      <x:c r="A9" s="6" t="str">
        <x:v>XHS_P01_R04</x:v>
      </x:c>
      <x:c r="B9" s="6" t="str">
        <x:v>XHS_P01</x:v>
      </x:c>
      <x:c r="C9" s="6" t="str">
        <x:v>Xiaohongshu</x:v>
      </x:c>
      <x:c r="D9" s="6" t="str">
        <x:v>context_reply</x:v>
      </x:c>
      <x:c r="E9" s="6" t="str">
        <x:v>可以的宝子</x:v>
      </x:c>
      <x:c r="F9" s="6" t="str">
        <x:v>Yes, we can.</x:v>
      </x:c>
      <x:c r="G9" s="6" t="str">
        <x:v>可以的宝子</x:v>
      </x:c>
      <x:c r="H9" s="6" t="str">
        <x:v>Explicit 作者 badge in saved page; response contextualizes the parent only. No consumer-demand evidence.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str">
        <x:v>creator_reply</x:v>
      </x:c>
      <x:c r="R9" s="6" t="str">
        <x:v>2026</x:v>
      </x:c>
      <x:c r="S9" s="6" t="str">
        <x:v>unknown_exact_date</x:v>
      </x:c>
      <x:c r="T9" s="6" t="str"/>
      <x:c r="U9" s="6" t="str">
        <x:v>RESEARCH_WORKSPACE/Outputs/SaSa_Section_2_2/support/browser_evidence/XHS_P01_full.txt</x:v>
      </x:c>
      <x:c r="V9" s="6" t="str"/>
      <x:c r="W9" s="6" t="str">
        <x:v>creator_response</x:v>
      </x:c>
      <x:c r="X9" s="6" t="str">
        <x:v>No verified purchase; do not infer intent from inquiry</x:v>
      </x:c>
      <x:c r="Y9" s="7" t="b">
        <x:v>0</x:v>
      </x:c>
    </x:row>
    <x:row r="10" ht="52" customHeight="1">
      <x:c r="A10" s="6" t="str">
        <x:v>XHS_P01_C05</x:v>
      </x:c>
      <x:c r="B10" s="6" t="str">
        <x:v>XHS_P01</x:v>
      </x:c>
      <x:c r="C10" s="6" t="str">
        <x:v>Xiaohongshu</x:v>
      </x:c>
      <x:c r="D10" s="6" t="str">
        <x:v>valid</x:v>
      </x:c>
      <x:c r="E10" s="6" t="str">
        <x:v>想咨询</x:v>
      </x:c>
      <x:c r="F10" s="6" t="str">
        <x:v>I would like to enquire.</x:v>
      </x:c>
      <x:c r="G10" s="6" t="str">
        <x:v>想咨询</x:v>
      </x:c>
      <x:c r="H10" s="6" t="str">
        <x:v>General consultation request under a service post. Specific question and purchase intention unknown; weak detail, not a product inquiry.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1</x:v>
      </x:c>
      <x:c r="Q10" s="6" t="str">
        <x:v>top_level</x:v>
      </x:c>
      <x:c r="R10" s="6" t="str">
        <x:v>unknown</x:v>
      </x:c>
      <x:c r="S10" s="6" t="str">
        <x:v>unknown</x:v>
      </x:c>
      <x:c r="T10" s="6" t="str"/>
      <x:c r="U10" s="6" t="str">
        <x:v>RESEARCH_WORKSPACE/Outputs/SaSa_Section_2_2/support/browser_evidence/XHS_P01_full.txt</x:v>
      </x:c>
      <x:c r="V10" s="6" t="str"/>
      <x:c r="W10" s="6" t="str">
        <x:v>information_request</x:v>
      </x:c>
      <x:c r="X10" s="6" t="str">
        <x:v>No verified purchase; do not infer intent from inquiry</x:v>
      </x:c>
      <x:c r="Y10" s="7" t="b">
        <x:v>0</x:v>
      </x:c>
    </x:row>
    <x:row r="11" ht="38" customHeight="1">
      <x:c r="A11" s="6" t="str">
        <x:v>XHS_P01_R05</x:v>
      </x:c>
      <x:c r="B11" s="6" t="str">
        <x:v>XHS_P01</x:v>
      </x:c>
      <x:c r="C11" s="6" t="str">
        <x:v>Xiaohongshu</x:v>
      </x:c>
      <x:c r="D11" s="6" t="str">
        <x:v>context_reply</x:v>
      </x:c>
      <x:c r="E11" s="6" t="str">
        <x:v>来了</x:v>
      </x:c>
      <x:c r="F11" s="6" t="str">
        <x:v>Here / responding.</x:v>
      </x:c>
      <x:c r="G11" s="6" t="str">
        <x:v>来了</x:v>
      </x:c>
      <x:c r="H11" s="6" t="str">
        <x:v>Explicit 作者 badge in saved page; response contextualizes the parent only. No consumer-demand evidence.</x:v>
      </x:c>
      <x:c r="I11" s="6" t="n">
        <x:v>0</x:v>
      </x:c>
      <x:c r="J11" s="6" t="n">
        <x:v>0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str">
        <x:v>creator_reply</x:v>
      </x:c>
      <x:c r="R11" s="6" t="str">
        <x:v>unknown</x:v>
      </x:c>
      <x:c r="S11" s="6" t="str">
        <x:v>unknown</x:v>
      </x:c>
      <x:c r="T11" s="6" t="str"/>
      <x:c r="U11" s="6" t="str">
        <x:v>RESEARCH_WORKSPACE/Outputs/SaSa_Section_2_2/support/browser_evidence/XHS_P01_full.txt</x:v>
      </x:c>
      <x:c r="V11" s="6" t="str"/>
      <x:c r="W11" s="6" t="str">
        <x:v>creator_response</x:v>
      </x:c>
      <x:c r="X11" s="6" t="str">
        <x:v>No verified purchase; do not infer intent from inquiry</x:v>
      </x:c>
      <x:c r="Y11" s="7" t="b">
        <x:v>0</x:v>
      </x:c>
    </x:row>
    <x:row r="12" ht="38" customHeight="1">
      <x:c r="A12" s="6" t="str">
        <x:v>XHS_P01_C06</x:v>
      </x:c>
      <x:c r="B12" s="6" t="str">
        <x:v>XHS_P01</x:v>
      </x:c>
      <x:c r="C12" s="6" t="str">
        <x:v>Xiaohongshu</x:v>
      </x:c>
      <x:c r="D12" s="6" t="str">
        <x:v>valid</x:v>
      </x:c>
      <x:c r="E12" s="6" t="str">
        <x:v>亚博馆附近酒店上门可以吗</x:v>
      </x:c>
      <x:c r="F12" s="6" t="str">
        <x:v>Can you come to a hotel near AsiaWorld-Expo?</x:v>
      </x:c>
      <x:c r="G12" s="6" t="str">
        <x:v>酒店上门可以吗</x:v>
      </x:c>
      <x:c r="H12" s="6" t="str">
        <x:v>Asks service availability at a location. Hotel mention does not establish tourist status.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1</x:v>
      </x:c>
      <x:c r="Q12" s="6" t="str">
        <x:v>top_level</x:v>
      </x:c>
      <x:c r="R12" s="6" t="str">
        <x:v>unknown</x:v>
      </x:c>
      <x:c r="S12" s="6" t="str">
        <x:v>unknown</x:v>
      </x:c>
      <x:c r="T12" s="6" t="str"/>
      <x:c r="U12" s="6" t="str">
        <x:v>RESEARCH_WORKSPACE/Outputs/SaSa_Section_2_2/support/browser_evidence/XHS_P01_full.txt</x:v>
      </x:c>
      <x:c r="V12" s="6" t="str"/>
      <x:c r="W12" s="6" t="str">
        <x:v>information_request</x:v>
      </x:c>
      <x:c r="X12" s="6" t="str">
        <x:v>No verified purchase; do not infer intent from inquiry</x:v>
      </x:c>
      <x:c r="Y12" s="7" t="b">
        <x:v>0</x:v>
      </x:c>
    </x:row>
    <x:row r="13" ht="38" customHeight="1">
      <x:c r="A13" s="6" t="str">
        <x:v>XHS_P01_R06</x:v>
      </x:c>
      <x:c r="B13" s="6" t="str">
        <x:v>XHS_P01</x:v>
      </x:c>
      <x:c r="C13" s="6" t="str">
        <x:v>Xiaohongshu</x:v>
      </x:c>
      <x:c r="D13" s="6" t="str">
        <x:v>context_reply</x:v>
      </x:c>
      <x:c r="E13" s="6" t="str">
        <x:v>可以的</x:v>
      </x:c>
      <x:c r="F13" s="6" t="str">
        <x:v>Yes, we can.</x:v>
      </x:c>
      <x:c r="G13" s="6" t="str">
        <x:v>可以的</x:v>
      </x:c>
      <x:c r="H13" s="6" t="str">
        <x:v>Explicit 作者 badge in saved page; response contextualizes the parent only. No consumer-demand evidence.</x:v>
      </x:c>
      <x:c r="I13" s="6" t="n">
        <x:v>0</x:v>
      </x:c>
      <x:c r="J13" s="6" t="n">
        <x:v>0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str">
        <x:v>creator_reply</x:v>
      </x:c>
      <x:c r="R13" s="6" t="str">
        <x:v>unknown</x:v>
      </x:c>
      <x:c r="S13" s="6" t="str">
        <x:v>unknown</x:v>
      </x:c>
      <x:c r="T13" s="6" t="str"/>
      <x:c r="U13" s="6" t="str">
        <x:v>RESEARCH_WORKSPACE/Outputs/SaSa_Section_2_2/support/browser_evidence/XHS_P01_full.txt</x:v>
      </x:c>
      <x:c r="V13" s="6" t="str"/>
      <x:c r="W13" s="6" t="str">
        <x:v>creator_response</x:v>
      </x:c>
      <x:c r="X13" s="6" t="str">
        <x:v>No verified purchase; do not infer intent from inquiry</x:v>
      </x:c>
      <x:c r="Y13" s="7" t="b">
        <x:v>0</x:v>
      </x:c>
    </x:row>
    <x:row r="14" ht="38" customHeight="1">
      <x:c r="A14" s="6" t="str">
        <x:v>XHS_P01_C07</x:v>
      </x:c>
      <x:c r="B14" s="6" t="str">
        <x:v>XHS_P01</x:v>
      </x:c>
      <x:c r="C14" s="6" t="str">
        <x:v>Xiaohongshu</x:v>
      </x:c>
      <x:c r="D14" s="6" t="str">
        <x:v>valid</x:v>
      </x:c>
      <x:c r="E14" s="6" t="str">
        <x:v>问价</x:v>
      </x:c>
      <x:c r="F14" s="6" t="str">
        <x:v>Asking the price.</x:v>
      </x:c>
      <x:c r="G14" s="6" t="str">
        <x:v>问价</x:v>
      </x:c>
      <x:c r="H14" s="6" t="str">
        <x:v>Price information request, not evidence of price barrier.</x:v>
      </x:c>
      <x:c r="I14" s="6" t="n">
        <x:v>0</x:v>
      </x:c>
      <x:c r="J14" s="6" t="n">
        <x:v>0</x:v>
      </x:c>
      <x:c r="K14" s="6" t="n">
        <x:v>0</x:v>
      </x:c>
      <x:c r="L14" s="6" t="n">
        <x:v>1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str">
        <x:v>top_level</x:v>
      </x:c>
      <x:c r="R14" s="6" t="str">
        <x:v>unknown</x:v>
      </x:c>
      <x:c r="S14" s="6" t="str">
        <x:v>unknown</x:v>
      </x:c>
      <x:c r="T14" s="6" t="str"/>
      <x:c r="U14" s="6" t="str">
        <x:v>RESEARCH_WORKSPACE/Outputs/SaSa_Section_2_2/support/browser_evidence/XHS_P01_full.txt</x:v>
      </x:c>
      <x:c r="V14" s="6" t="str"/>
      <x:c r="W14" s="6" t="str">
        <x:v>information_request</x:v>
      </x:c>
      <x:c r="X14" s="6" t="str">
        <x:v>No verified purchase; do not infer intent from inquiry</x:v>
      </x:c>
      <x:c r="Y14" s="7" t="b">
        <x:v>0</x:v>
      </x:c>
    </x:row>
    <x:row r="15" ht="38" customHeight="1">
      <x:c r="A15" s="6" t="str">
        <x:v>XHS_P01_R07</x:v>
      </x:c>
      <x:c r="B15" s="6" t="str">
        <x:v>XHS_P01</x:v>
      </x:c>
      <x:c r="C15" s="6" t="str">
        <x:v>Xiaohongshu</x:v>
      </x:c>
      <x:c r="D15" s="6" t="str">
        <x:v>context_reply</x:v>
      </x:c>
      <x:c r="E15" s="6" t="str">
        <x:v>来了</x:v>
      </x:c>
      <x:c r="F15" s="6" t="str">
        <x:v>Here / responding.</x:v>
      </x:c>
      <x:c r="G15" s="6" t="str">
        <x:v>来了</x:v>
      </x:c>
      <x:c r="H15" s="6" t="str">
        <x:v>Explicit 作者 badge in saved page; response contextualizes the parent only. No consumer-demand evidence.</x:v>
      </x:c>
      <x:c r="I15" s="6" t="n">
        <x:v>0</x:v>
      </x:c>
      <x:c r="J15" s="6" t="n">
        <x:v>0</x:v>
      </x:c>
      <x:c r="K15" s="6" t="n">
        <x:v>0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str">
        <x:v>creator_reply</x:v>
      </x:c>
      <x:c r="R15" s="6" t="str">
        <x:v>unknown</x:v>
      </x:c>
      <x:c r="S15" s="6" t="str">
        <x:v>unknown</x:v>
      </x:c>
      <x:c r="T15" s="6" t="str"/>
      <x:c r="U15" s="6" t="str">
        <x:v>RESEARCH_WORKSPACE/Outputs/SaSa_Section_2_2/support/browser_evidence/XHS_P01_full.txt</x:v>
      </x:c>
      <x:c r="V15" s="6" t="str"/>
      <x:c r="W15" s="6" t="str">
        <x:v>creator_response</x:v>
      </x:c>
      <x:c r="X15" s="6" t="str">
        <x:v>No verified purchase; do not infer intent from inquiry</x:v>
      </x:c>
      <x:c r="Y15" s="7" t="b">
        <x:v>0</x:v>
      </x:c>
    </x:row>
    <x:row r="16" ht="66" customHeight="1">
      <x:c r="A16" s="6" t="str">
        <x:v>XHS_P01_C08</x:v>
      </x:c>
      <x:c r="B16" s="6" t="str">
        <x:v>XHS_P01</x:v>
      </x:c>
      <x:c r="C16" s="6" t="str">
        <x:v>Xiaohongshu</x:v>
      </x:c>
      <x:c r="D16" s="6" t="str">
        <x:v>valid</x:v>
      </x:c>
      <x:c r="E16" s="6" t="str">
        <x:v>老师 问问价 想要梅菲斯的妆 在香港亚博</x:v>
      </x:c>
      <x:c r="F16" s="6" t="str">
        <x:v>May I ask the price? I want a 梅菲斯 character look, at Hong Kong AsiaWorld-Expo.</x:v>
      </x:c>
      <x:c r="G16" s="6" t="str">
        <x:v>问问价 想要梅菲斯的妆 在香港亚博</x:v>
      </x:c>
      <x:c r="H16" s="6" t="str">
        <x:v>Expresses desired character makeup and venue plus price query. Does not say the service or cosmetics were purchased. Character name retained to avoid uncertain identification.</x:v>
      </x:c>
      <x:c r="I16" s="6" t="n">
        <x:v>1</x:v>
      </x:c>
      <x:c r="J16" s="6" t="n">
        <x:v>0</x:v>
      </x:c>
      <x:c r="K16" s="6" t="n">
        <x:v>0</x:v>
      </x:c>
      <x:c r="L16" s="6" t="n">
        <x:v>1</x:v>
      </x:c>
      <x:c r="M16" s="6" t="n">
        <x:v>0</x:v>
      </x:c>
      <x:c r="N16" s="6" t="n">
        <x:v>0</x:v>
      </x:c>
      <x:c r="O16" s="6" t="n">
        <x:v>0</x:v>
      </x:c>
      <x:c r="P16" s="6" t="n">
        <x:v>1</x:v>
      </x:c>
      <x:c r="Q16" s="6" t="str">
        <x:v>top_level</x:v>
      </x:c>
      <x:c r="R16" s="6" t="str">
        <x:v>unknown</x:v>
      </x:c>
      <x:c r="S16" s="6" t="str">
        <x:v>unknown</x:v>
      </x:c>
      <x:c r="T16" s="6" t="str"/>
      <x:c r="U16" s="6" t="str">
        <x:v>RESEARCH_WORKSPACE/Outputs/SaSa_Section_2_2/support/browser_evidence/XHS_P01_full.txt</x:v>
      </x:c>
      <x:c r="V16" s="6" t="str"/>
      <x:c r="W16" s="6" t="str">
        <x:v>information_request</x:v>
      </x:c>
      <x:c r="X16" s="6" t="str">
        <x:v>No verified purchase; do not infer intent from inquiry</x:v>
      </x:c>
      <x:c r="Y16" s="7" t="b">
        <x:v>0</x:v>
      </x:c>
    </x:row>
    <x:row r="17" ht="38" customHeight="1">
      <x:c r="A17" s="6" t="str">
        <x:v>XHS_P01_R08</x:v>
      </x:c>
      <x:c r="B17" s="6" t="str">
        <x:v>XHS_P01</x:v>
      </x:c>
      <x:c r="C17" s="6" t="str">
        <x:v>Xiaohongshu</x:v>
      </x:c>
      <x:c r="D17" s="6" t="str">
        <x:v>context_reply</x:v>
      </x:c>
      <x:c r="E17" s="6" t="str">
        <x:v>来了</x:v>
      </x:c>
      <x:c r="F17" s="6" t="str">
        <x:v>Here / responding.</x:v>
      </x:c>
      <x:c r="G17" s="6" t="str">
        <x:v>来了</x:v>
      </x:c>
      <x:c r="H17" s="6" t="str">
        <x:v>Explicit 作者 badge in saved page; response contextualizes the parent only. No consumer-demand evidence.</x:v>
      </x:c>
      <x:c r="I17" s="6" t="n">
        <x:v>0</x:v>
      </x:c>
      <x:c r="J17" s="6" t="n">
        <x:v>0</x:v>
      </x:c>
      <x:c r="K17" s="6" t="n">
        <x:v>0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str">
        <x:v>creator_reply</x:v>
      </x:c>
      <x:c r="R17" s="6" t="str">
        <x:v>unknown</x:v>
      </x:c>
      <x:c r="S17" s="6" t="str">
        <x:v>unknown</x:v>
      </x:c>
      <x:c r="T17" s="6" t="str"/>
      <x:c r="U17" s="6" t="str">
        <x:v>RESEARCH_WORKSPACE/Outputs/SaSa_Section_2_2/support/browser_evidence/XHS_P01_full.txt</x:v>
      </x:c>
      <x:c r="V17" s="6" t="str"/>
      <x:c r="W17" s="6" t="str">
        <x:v>creator_response</x:v>
      </x:c>
      <x:c r="X17" s="6" t="str">
        <x:v>No verified purchase; do not infer intent from inquiry</x:v>
      </x:c>
      <x:c r="Y17" s="7" t="b">
        <x:v>0</x:v>
      </x:c>
    </x:row>
    <x:row r="18" ht="52" customHeight="1">
      <x:c r="A18" s="6" t="str">
        <x:v>XHS_P01_C09</x:v>
      </x:c>
      <x:c r="B18" s="6" t="str">
        <x:v>XHS_P01</x:v>
      </x:c>
      <x:c r="C18" s="6" t="str">
        <x:v>Xiaohongshu</x:v>
      </x:c>
      <x:c r="D18" s="6" t="str">
        <x:v>unclear</x:v>
      </x:c>
      <x:c r="E18" s="6" t="str">
        <x:v>問</x:v>
      </x:c>
      <x:c r="F18" s="6" t="str">
        <x:v>Enquiring.</x:v>
      </x:c>
      <x:c r="G18" s="6" t="str">
        <x:v>問</x:v>
      </x:c>
      <x:c r="H18" s="6" t="str">
        <x:v>One-character comment; inquiry subject cannot be established. Retained as unclassified rather than inferred to be price or booking.</x:v>
      </x:c>
      <x:c r="I18" s="6" t="n">
        <x:v>0</x:v>
      </x:c>
      <x:c r="J18" s="6" t="n">
        <x:v>0</x:v>
      </x:c>
      <x:c r="K18" s="6" t="n">
        <x:v>0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str">
        <x:v>top_level</x:v>
      </x:c>
      <x:c r="R18" s="6" t="str">
        <x:v>2026</x:v>
      </x:c>
      <x:c r="S18" s="6" t="str">
        <x:v>unknown_exact_date</x:v>
      </x:c>
      <x:c r="T18" s="6" t="str"/>
      <x:c r="U18" s="6" t="str">
        <x:v>RESEARCH_WORKSPACE/Outputs/SaSa_Section_2_2/support/browser_evidence/XHS_P01_full.txt</x:v>
      </x:c>
      <x:c r="V18" s="6" t="str"/>
      <x:c r="W18" s="6" t="str">
        <x:v>uncertain</x:v>
      </x:c>
      <x:c r="X18" s="6" t="str">
        <x:v>No verified purchase; do not infer intent from inquiry</x:v>
      </x:c>
      <x:c r="Y18" s="7" t="b">
        <x:v>0</x:v>
      </x:c>
    </x:row>
    <x:row r="19" ht="38" customHeight="1">
      <x:c r="A19" s="6" t="str">
        <x:v>XHS_P01_R09</x:v>
      </x:c>
      <x:c r="B19" s="6" t="str">
        <x:v>XHS_P01</x:v>
      </x:c>
      <x:c r="C19" s="6" t="str">
        <x:v>Xiaohongshu</x:v>
      </x:c>
      <x:c r="D19" s="6" t="str">
        <x:v>context_reply</x:v>
      </x:c>
      <x:c r="E19" s="6" t="str">
        <x:v>来了</x:v>
      </x:c>
      <x:c r="F19" s="6" t="str">
        <x:v>Here / responding.</x:v>
      </x:c>
      <x:c r="G19" s="6" t="str">
        <x:v>来了</x:v>
      </x:c>
      <x:c r="H19" s="6" t="str">
        <x:v>Explicit 作者 badge in saved page; response contextualizes the parent only. No consumer-demand evidence.</x:v>
      </x:c>
      <x:c r="I19" s="6" t="n">
        <x:v>0</x:v>
      </x:c>
      <x:c r="J19" s="6" t="n">
        <x:v>0</x:v>
      </x:c>
      <x:c r="K19" s="6" t="n">
        <x:v>0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str">
        <x:v>creator_reply</x:v>
      </x:c>
      <x:c r="R19" s="6" t="str">
        <x:v>2026</x:v>
      </x:c>
      <x:c r="S19" s="6" t="str">
        <x:v>unknown_exact_date</x:v>
      </x:c>
      <x:c r="T19" s="6" t="str"/>
      <x:c r="U19" s="6" t="str">
        <x:v>RESEARCH_WORKSPACE/Outputs/SaSa_Section_2_2/support/browser_evidence/XHS_P01_full.txt</x:v>
      </x:c>
      <x:c r="V19" s="6" t="str"/>
      <x:c r="W19" s="6" t="str">
        <x:v>creator_response</x:v>
      </x:c>
      <x:c r="X19" s="6" t="str">
        <x:v>No verified purchase; do not infer intent from inquiry</x:v>
      </x:c>
      <x:c r="Y19" s="7" t="b">
        <x:v>0</x:v>
      </x:c>
    </x:row>
    <x:row r="20" ht="38" customHeight="1">
      <x:c r="A20" s="6" t="str">
        <x:v>XHS_P01_C10</x:v>
      </x:c>
      <x:c r="B20" s="6" t="str">
        <x:v>XHS_P01</x:v>
      </x:c>
      <x:c r="C20" s="6" t="str">
        <x:v>Xiaohongshu</x:v>
      </x:c>
      <x:c r="D20" s="6" t="str">
        <x:v>valid</x:v>
      </x:c>
      <x:c r="E20" s="6" t="str">
        <x:v>老师，问价</x:v>
      </x:c>
      <x:c r="F20" s="6" t="str">
        <x:v>May I ask the price?</x:v>
      </x:c>
      <x:c r="G20" s="6" t="str">
        <x:v>问价</x:v>
      </x:c>
      <x:c r="H20" s="6" t="str">
        <x:v>Price inquiry only; no expense objection or product purchase evidence.</x:v>
      </x:c>
      <x:c r="I20" s="6" t="n">
        <x:v>0</x:v>
      </x:c>
      <x:c r="J20" s="6" t="n">
        <x:v>0</x:v>
      </x:c>
      <x:c r="K20" s="6" t="n">
        <x:v>0</x:v>
      </x:c>
      <x:c r="L20" s="6" t="n">
        <x:v>1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str">
        <x:v>top_level</x:v>
      </x:c>
      <x:c r="R20" s="6" t="str">
        <x:v>unknown</x:v>
      </x:c>
      <x:c r="S20" s="6" t="str">
        <x:v>unknown</x:v>
      </x:c>
      <x:c r="T20" s="6" t="str"/>
      <x:c r="U20" s="6" t="str">
        <x:v>RESEARCH_WORKSPACE/Outputs/SaSa_Section_2_2/support/browser_evidence/XHS_P01_full.txt</x:v>
      </x:c>
      <x:c r="V20" s="6" t="str"/>
      <x:c r="W20" s="6" t="str">
        <x:v>information_request</x:v>
      </x:c>
      <x:c r="X20" s="6" t="str">
        <x:v>No verified purchase; do not infer intent from inquiry</x:v>
      </x:c>
      <x:c r="Y20" s="7" t="b">
        <x:v>0</x:v>
      </x:c>
    </x:row>
    <x:row r="21" ht="38" customHeight="1">
      <x:c r="A21" s="6" t="str">
        <x:v>XHS_P01_R10</x:v>
      </x:c>
      <x:c r="B21" s="6" t="str">
        <x:v>XHS_P01</x:v>
      </x:c>
      <x:c r="C21" s="6" t="str">
        <x:v>Xiaohongshu</x:v>
      </x:c>
      <x:c r="D21" s="6" t="str">
        <x:v>context_reply</x:v>
      </x:c>
      <x:c r="E21" s="6" t="str">
        <x:v>来了</x:v>
      </x:c>
      <x:c r="F21" s="6" t="str">
        <x:v>Here / responding.</x:v>
      </x:c>
      <x:c r="G21" s="6" t="str">
        <x:v>来了</x:v>
      </x:c>
      <x:c r="H21" s="6" t="str">
        <x:v>Explicit 作者 badge in saved page; response contextualizes the parent only. No consumer-demand evidence.</x:v>
      </x:c>
      <x:c r="I21" s="6" t="n">
        <x:v>0</x:v>
      </x:c>
      <x:c r="J21" s="6" t="n">
        <x:v>0</x:v>
      </x:c>
      <x:c r="K21" s="6" t="n">
        <x:v>0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str">
        <x:v>creator_reply</x:v>
      </x:c>
      <x:c r="R21" s="6" t="str">
        <x:v>unknown</x:v>
      </x:c>
      <x:c r="S21" s="6" t="str">
        <x:v>unknown</x:v>
      </x:c>
      <x:c r="T21" s="6" t="str"/>
      <x:c r="U21" s="6" t="str">
        <x:v>RESEARCH_WORKSPACE/Outputs/SaSa_Section_2_2/support/browser_evidence/XHS_P01_full.txt</x:v>
      </x:c>
      <x:c r="V21" s="6" t="str"/>
      <x:c r="W21" s="6" t="str">
        <x:v>creator_response</x:v>
      </x:c>
      <x:c r="X21" s="6" t="str">
        <x:v>No verified purchase; do not infer intent from inquiry</x:v>
      </x:c>
      <x:c r="Y21" s="7" t="b">
        <x:v>0</x:v>
      </x:c>
    </x:row>
    <x:row r="22" ht="38" customHeight="1">
      <x:c r="A22" s="6" t="str">
        <x:v>XHS_P01_C11</x:v>
      </x:c>
      <x:c r="B22" s="6" t="str">
        <x:v>XHS_P01</x:v>
      </x:c>
      <x:c r="C22" s="6" t="str">
        <x:v>Xiaohongshu</x:v>
      </x:c>
      <x:c r="D22" s="6" t="str">
        <x:v>valid</x:v>
      </x:c>
      <x:c r="E22" s="6" t="str">
        <x:v>礼貌问价</x:v>
      </x:c>
      <x:c r="F22" s="6" t="str">
        <x:v>Politely asking the price.</x:v>
      </x:c>
      <x:c r="G22" s="6" t="str">
        <x:v>问价</x:v>
      </x:c>
      <x:c r="H22" s="6" t="str">
        <x:v>Price inquiry only; no expense objection or product purchase evidence.</x:v>
      </x:c>
      <x:c r="I22" s="6" t="n">
        <x:v>0</x:v>
      </x:c>
      <x:c r="J22" s="6" t="n">
        <x:v>0</x:v>
      </x:c>
      <x:c r="K22" s="6" t="n">
        <x:v>0</x:v>
      </x:c>
      <x:c r="L22" s="6" t="n">
        <x:v>1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str">
        <x:v>top_level</x:v>
      </x:c>
      <x:c r="R22" s="6" t="str">
        <x:v>unknown</x:v>
      </x:c>
      <x:c r="S22" s="6" t="str">
        <x:v>unknown</x:v>
      </x:c>
      <x:c r="T22" s="6" t="str"/>
      <x:c r="U22" s="6" t="str">
        <x:v>RESEARCH_WORKSPACE/Outputs/SaSa_Section_2_2/support/browser_evidence/XHS_P01_full.txt</x:v>
      </x:c>
      <x:c r="V22" s="6" t="str"/>
      <x:c r="W22" s="6" t="str">
        <x:v>information_request</x:v>
      </x:c>
      <x:c r="X22" s="6" t="str">
        <x:v>No verified purchase; do not infer intent from inquiry</x:v>
      </x:c>
      <x:c r="Y22" s="7" t="b">
        <x:v>0</x:v>
      </x:c>
    </x:row>
    <x:row r="23" ht="38" customHeight="1">
      <x:c r="A23" s="6" t="str">
        <x:v>XHS_P01_R11</x:v>
      </x:c>
      <x:c r="B23" s="6" t="str">
        <x:v>XHS_P01</x:v>
      </x:c>
      <x:c r="C23" s="6" t="str">
        <x:v>Xiaohongshu</x:v>
      </x:c>
      <x:c r="D23" s="6" t="str">
        <x:v>context_reply</x:v>
      </x:c>
      <x:c r="E23" s="6" t="str">
        <x:v>来了</x:v>
      </x:c>
      <x:c r="F23" s="6" t="str">
        <x:v>Here / responding.</x:v>
      </x:c>
      <x:c r="G23" s="6" t="str">
        <x:v>来了</x:v>
      </x:c>
      <x:c r="H23" s="6" t="str">
        <x:v>Explicit 作者 badge in saved page; response contextualizes the parent only. No consumer-demand evidence.</x:v>
      </x:c>
      <x:c r="I23" s="6" t="n">
        <x:v>0</x:v>
      </x:c>
      <x:c r="J23" s="6" t="n">
        <x:v>0</x:v>
      </x:c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str">
        <x:v>creator_reply</x:v>
      </x:c>
      <x:c r="R23" s="6" t="str">
        <x:v>unknown</x:v>
      </x:c>
      <x:c r="S23" s="6" t="str">
        <x:v>unknown</x:v>
      </x:c>
      <x:c r="T23" s="6" t="str"/>
      <x:c r="U23" s="6" t="str">
        <x:v>RESEARCH_WORKSPACE/Outputs/SaSa_Section_2_2/support/browser_evidence/XHS_P01_full.txt</x:v>
      </x:c>
      <x:c r="V23" s="6" t="str"/>
      <x:c r="W23" s="6" t="str">
        <x:v>creator_response</x:v>
      </x:c>
      <x:c r="X23" s="6" t="str">
        <x:v>No verified purchase; do not infer intent from inquiry</x:v>
      </x:c>
      <x:c r="Y23" s="7" t="b">
        <x:v>0</x:v>
      </x:c>
    </x:row>
    <x:row r="24" ht="38" customHeight="1">
      <x:c r="A24" s="6" t="str">
        <x:v>XHS_P01_C12</x:v>
      </x:c>
      <x:c r="B24" s="6" t="str">
        <x:v>XHS_P01</x:v>
      </x:c>
      <x:c r="C24" s="6" t="str">
        <x:v>Xiaohongshu</x:v>
      </x:c>
      <x:c r="D24" s="6" t="str">
        <x:v>valid</x:v>
      </x:c>
      <x:c r="E24" s="6" t="str">
        <x:v>问价</x:v>
      </x:c>
      <x:c r="F24" s="6" t="str">
        <x:v>Asking the price.</x:v>
      </x:c>
      <x:c r="G24" s="6" t="str">
        <x:v>问价</x:v>
      </x:c>
      <x:c r="H24" s="6" t="str">
        <x:v>Same short wording as other users is not duplicate capture; separately visible user/thread. Price inquiry only.</x:v>
      </x:c>
      <x:c r="I24" s="6" t="n">
        <x:v>0</x:v>
      </x:c>
      <x:c r="J24" s="6" t="n">
        <x:v>0</x:v>
      </x:c>
      <x:c r="K24" s="6" t="n">
        <x:v>0</x:v>
      </x:c>
      <x:c r="L24" s="6" t="n">
        <x:v>1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str">
        <x:v>top_level</x:v>
      </x:c>
      <x:c r="R24" s="6" t="str">
        <x:v>unknown</x:v>
      </x:c>
      <x:c r="S24" s="6" t="str">
        <x:v>unknown</x:v>
      </x:c>
      <x:c r="T24" s="6" t="str"/>
      <x:c r="U24" s="6" t="str">
        <x:v>RESEARCH_WORKSPACE/Outputs/SaSa_Section_2_2/support/browser_evidence/XHS_P01_full.txt</x:v>
      </x:c>
      <x:c r="V24" s="6" t="str"/>
      <x:c r="W24" s="6" t="str">
        <x:v>information_request</x:v>
      </x:c>
      <x:c r="X24" s="6" t="str">
        <x:v>No verified purchase; do not infer intent from inquiry</x:v>
      </x:c>
      <x:c r="Y24" s="7" t="b">
        <x:v>0</x:v>
      </x:c>
    </x:row>
    <x:row r="25" ht="38" customHeight="1">
      <x:c r="A25" s="6" t="str">
        <x:v>XHS_P01_R12</x:v>
      </x:c>
      <x:c r="B25" s="6" t="str">
        <x:v>XHS_P01</x:v>
      </x:c>
      <x:c r="C25" s="6" t="str">
        <x:v>Xiaohongshu</x:v>
      </x:c>
      <x:c r="D25" s="6" t="str">
        <x:v>context_reply</x:v>
      </x:c>
      <x:c r="E25" s="6" t="str">
        <x:v>来了</x:v>
      </x:c>
      <x:c r="F25" s="6" t="str">
        <x:v>Here / responding.</x:v>
      </x:c>
      <x:c r="G25" s="6" t="str">
        <x:v>来了</x:v>
      </x:c>
      <x:c r="H25" s="6" t="str">
        <x:v>Explicit 作者 badge in saved page; response contextualizes the parent only. No consumer-demand evidence.</x:v>
      </x:c>
      <x:c r="I25" s="6" t="n">
        <x:v>0</x:v>
      </x:c>
      <x:c r="J25" s="6" t="n">
        <x:v>0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str">
        <x:v>creator_reply</x:v>
      </x:c>
      <x:c r="R25" s="6" t="str">
        <x:v>unknown</x:v>
      </x:c>
      <x:c r="S25" s="6" t="str">
        <x:v>unknown</x:v>
      </x:c>
      <x:c r="T25" s="6" t="str"/>
      <x:c r="U25" s="6" t="str">
        <x:v>RESEARCH_WORKSPACE/Outputs/SaSa_Section_2_2/support/browser_evidence/XHS_P01_full.txt</x:v>
      </x:c>
      <x:c r="V25" s="6" t="str"/>
      <x:c r="W25" s="6" t="str">
        <x:v>creator_response</x:v>
      </x:c>
      <x:c r="X25" s="6" t="str">
        <x:v>No verified purchase; do not infer intent from inquiry</x:v>
      </x:c>
      <x:c r="Y25" s="7" t="b">
        <x:v>0</x:v>
      </x:c>
    </x:row>
    <x:row r="26" ht="108" customHeight="1">
      <x:c r="A26" s="6" t="str">
        <x:v>XHS_P02_C01</x:v>
      </x:c>
      <x:c r="B26" s="6" t="str">
        <x:v>XHS_P02</x:v>
      </x:c>
      <x:c r="C26" s="6" t="str">
        <x:v>Xiaohongshu</x:v>
      </x:c>
      <x:c r="D26" s="6" t="str">
        <x:v>valid</x:v>
      </x:c>
      <x:c r="E26" s="6" t="str">
        <x:v>我出汗很多 那天晚上六点五十画好的 p1是刚画好时拍的 p2是十五分钟后猛出汗 放大看能看到有一条白色颜料流下来 但是出汗不多的话其实还好 会喷定妆喷雾</x:v>
      </x:c>
      <x:c r="F26" s="6" t="str">
        <x:v>I sweat a lot. It was done at 6:50 that evening. Picture 1 was taken just afterwards; in picture 2, fifteen minutes later, I was sweating heavily. Zooming in, you can see a streak of white paint running down. It is actually okay if you do not sweat much; they apply setting spray.</x:v>
      </x:c>
      <x:c r="G26" s="6" t="str">
        <x:v>放大看能看到有一条白色颜料流下来 但是出汗不多的话其实还好</x:v>
      </x:c>
      <x:c r="H26" s="6" t="str">
        <x:v>Reports a conditional durability problem after face painting. Photographs referenced in text were not independently evaluated. Setting spray is mentioned as applied, not as a product sought or bought. Does not establish universal poor performance.</x:v>
      </x:c>
      <x:c r="I26" s="6" t="n">
        <x:v>0</x:v>
      </x:c>
      <x:c r="J26" s="6" t="n">
        <x:v>0</x:v>
      </x:c>
      <x:c r="K26" s="6" t="n">
        <x:v>0</x:v>
      </x:c>
      <x:c r="L26" s="6" t="n">
        <x:v>0</x:v>
      </x:c>
      <x:c r="M26" s="6" t="n">
        <x:v>0</x:v>
      </x:c>
      <x:c r="N26" s="6" t="n">
        <x:v>0</x:v>
      </x:c>
      <x:c r="O26" s="6" t="n">
        <x:v>0</x:v>
      </x:c>
      <x:c r="P26" s="6" t="n">
        <x:v>1</x:v>
      </x:c>
      <x:c r="Q26" s="6" t="str">
        <x:v>top_level</x:v>
      </x:c>
      <x:c r="R26" s="6" t="str">
        <x:v>unknown</x:v>
      </x:c>
      <x:c r="S26" s="6" t="str">
        <x:v>unknown</x:v>
      </x:c>
      <x:c r="T26" s="6" t="str"/>
      <x:c r="U26" s="6" t="str">
        <x:v>RESEARCH_WORKSPACE/Outputs/SaSa_Section_2_2/support/browser_evidence/XHS_P02_full.txt</x:v>
      </x:c>
      <x:c r="V26" s="6" t="str"/>
      <x:c r="W26" s="6" t="str">
        <x:v>use_experience</x:v>
      </x:c>
      <x:c r="X26" s="6" t="str">
        <x:v>No verified purchase; do not infer intent from inquiry</x:v>
      </x:c>
      <x:c r="Y26" s="7" t="b">
        <x:v>0</x:v>
      </x:c>
    </x:row>
    <x:row r="27" ht="52" customHeight="1">
      <x:c r="A27" s="6" t="str">
        <x:v>XHS_P02_R01</x:v>
      </x:c>
      <x:c r="B27" s="6" t="str">
        <x:v>XHS_P02</x:v>
      </x:c>
      <x:c r="C27" s="6" t="str">
        <x:v>Xiaohongshu</x:v>
      </x:c>
      <x:c r="D27" s="6" t="str">
        <x:v>context_reply</x:v>
      </x:c>
      <x:c r="E27" s="6" t="str">
        <x:v>你好，请问一下画一次要多少钱？</x:v>
      </x:c>
      <x:c r="F27" s="6" t="str">
        <x:v>Hello, how much does one face-painting session cost?</x:v>
      </x:c>
      <x:c r="G27" s="6" t="str">
        <x:v>画一次要多少钱</x:v>
      </x:c>
      <x:c r="H27" s="6" t="str">
        <x:v>Nested reply to C01, not a fifth top-level comment. Explicit price inquiry without price objection; contextual coding only.</x:v>
      </x:c>
      <x:c r="I27" s="6" t="n">
        <x:v>0</x:v>
      </x:c>
      <x:c r="J27" s="6" t="n">
        <x:v>0</x:v>
      </x:c>
      <x:c r="K27" s="6" t="n">
        <x:v>0</x:v>
      </x:c>
      <x:c r="L27" s="6" t="n">
        <x:v>1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str">
        <x:v>reply</x:v>
      </x:c>
      <x:c r="R27" s="6" t="str">
        <x:v>2026</x:v>
      </x:c>
      <x:c r="S27" s="6" t="str">
        <x:v>unknown_exact_date</x:v>
      </x:c>
      <x:c r="T27" s="6" t="str"/>
      <x:c r="U27" s="6" t="str">
        <x:v>RESEARCH_WORKSPACE/Outputs/SaSa_Section_2_2/support/browser_evidence/XHS_P02_full.txt</x:v>
      </x:c>
      <x:c r="V27" s="6" t="str"/>
      <x:c r="W27" s="6" t="str">
        <x:v>information_request</x:v>
      </x:c>
      <x:c r="X27" s="6" t="str">
        <x:v>No verified purchase; do not infer intent from inquiry</x:v>
      </x:c>
      <x:c r="Y27" s="7" t="b">
        <x:v>0</x:v>
      </x:c>
    </x:row>
    <x:row r="28" ht="52" customHeight="1">
      <x:c r="A28" s="6" t="str">
        <x:v>XHS_P02_C02</x:v>
      </x:c>
      <x:c r="B28" s="6" t="str">
        <x:v>XHS_P02</x:v>
      </x:c>
      <x:c r="C28" s="6" t="str">
        <x:v>Xiaohongshu</x:v>
      </x:c>
      <x:c r="D28" s="6" t="str">
        <x:v>excluded</x:v>
      </x:c>
      <x:c r="E28" s="6" t="str">
        <x:v>可以看看上门化妆 在迪士尼门口化完进去</x:v>
      </x:c>
      <x:c r="F28" s="6" t="str">
        <x:v>You could consider a visiting makeup service, have it done outside Disneyland, then go in.</x:v>
      </x:c>
      <x:c r="G28" s="6" t="str">
        <x:v>可以看看上门化妆</x:v>
      </x:c>
      <x:c r="H28" s="6" t="str">
        <x:v>Visible account self-describes Hong Kong mobile makeup service. Service solicitation retained in raw data but excluded from consumer evidence.</x:v>
      </x:c>
      <x:c r="I28" s="6" t="n">
        <x:v>0</x:v>
      </x:c>
      <x:c r="J28" s="6" t="n">
        <x:v>0</x:v>
      </x:c>
      <x:c r="K28" s="6" t="n">
        <x:v>0</x:v>
      </x:c>
      <x:c r="L28" s="6" t="n">
        <x:v>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str">
        <x:v>top_level</x:v>
      </x:c>
      <x:c r="R28" s="6" t="str">
        <x:v>unknown</x:v>
      </x:c>
      <x:c r="S28" s="6" t="str">
        <x:v>unknown</x:v>
      </x:c>
      <x:c r="T28" s="6" t="str"/>
      <x:c r="U28" s="6" t="str">
        <x:v>RESEARCH_WORKSPACE/Outputs/SaSa_Section_2_2/support/browser_evidence/XHS_P02_full.txt</x:v>
      </x:c>
      <x:c r="V28" s="6" t="str"/>
      <x:c r="W28" s="6" t="str">
        <x:v>commercial_promotion</x:v>
      </x:c>
      <x:c r="X28" s="6" t="str">
        <x:v>No verified purchase; do not infer intent from inquiry</x:v>
      </x:c>
      <x:c r="Y28" s="7" t="b">
        <x:v>0</x:v>
      </x:c>
    </x:row>
    <x:row r="29" ht="38" customHeight="1">
      <x:c r="A29" s="6" t="str">
        <x:v>XHS_P02_C03</x:v>
      </x:c>
      <x:c r="B29" s="6" t="str">
        <x:v>XHS_P02</x:v>
      </x:c>
      <x:c r="C29" s="6" t="str">
        <x:v>Xiaohongshu</x:v>
      </x:c>
      <x:c r="D29" s="6" t="str">
        <x:v>excluded</x:v>
      </x:c>
      <x:c r="E29" s="6" t="str">
        <x:v>哈喽 可上门化妆</x:v>
      </x:c>
      <x:c r="F29" s="6" t="str">
        <x:v>Hello, mobile makeup service is available.</x:v>
      </x:c>
      <x:c r="G29" s="6" t="str">
        <x:v>可上门化妆</x:v>
      </x:c>
      <x:c r="H29" s="6" t="str">
        <x:v>Offer of a makeup service; not a consumer need or product inquiry.</x:v>
      </x:c>
      <x:c r="I29" s="6" t="n">
        <x:v>0</x:v>
      </x:c>
      <x:c r="J29" s="6" t="n">
        <x:v>0</x:v>
      </x:c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str">
        <x:v>top_level</x:v>
      </x:c>
      <x:c r="R29" s="6" t="str">
        <x:v>unknown</x:v>
      </x:c>
      <x:c r="S29" s="6" t="str">
        <x:v>unknown</x:v>
      </x:c>
      <x:c r="T29" s="6" t="str"/>
      <x:c r="U29" s="6" t="str">
        <x:v>RESEARCH_WORKSPACE/Outputs/SaSa_Section_2_2/support/browser_evidence/XHS_P02_full.txt</x:v>
      </x:c>
      <x:c r="V29" s="6" t="str"/>
      <x:c r="W29" s="6" t="str">
        <x:v>commercial_promotion</x:v>
      </x:c>
      <x:c r="X29" s="6" t="str">
        <x:v>No verified purchase; do not infer intent from inquiry</x:v>
      </x:c>
      <x:c r="Y29" s="7" t="b">
        <x:v>0</x:v>
      </x:c>
    </x:row>
    <x:row r="30" ht="52" customHeight="1">
      <x:c r="A30" s="6" t="str">
        <x:v>XHS_P02_C04</x:v>
      </x:c>
      <x:c r="B30" s="6" t="str">
        <x:v>XHS_P02</x:v>
      </x:c>
      <x:c r="C30" s="6" t="str">
        <x:v>Xiaohongshu</x:v>
      </x:c>
      <x:c r="D30" s="6" t="str">
        <x:v>excluded</x:v>
      </x:c>
      <x:c r="E30" s="6" t="str">
        <x:v>上门化妆🙋🏻‍♀️</x:v>
      </x:c>
      <x:c r="F30" s="6" t="str">
        <x:v>Mobile makeup service 🙋🏻‍♀️</x:v>
      </x:c>
      <x:c r="G30" s="6" t="str">
        <x:v>上门化妆🙋🏻‍♀️</x:v>
      </x:c>
      <x:c r="H30" s="6" t="str">
        <x:v>Visible account self-describes Hong Kong mobile makeup and photography. Service solicitation, not consumer evidence.</x:v>
      </x:c>
      <x:c r="I30" s="6" t="n">
        <x:v>0</x:v>
      </x:c>
      <x:c r="J30" s="6" t="n">
        <x:v>0</x:v>
      </x:c>
      <x:c r="K30" s="6" t="n">
        <x:v>0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str">
        <x:v>top_level</x:v>
      </x:c>
      <x:c r="R30" s="6" t="str">
        <x:v>unknown</x:v>
      </x:c>
      <x:c r="S30" s="6" t="str">
        <x:v>unknown</x:v>
      </x:c>
      <x:c r="T30" s="6" t="str"/>
      <x:c r="U30" s="6" t="str">
        <x:v>RESEARCH_WORKSPACE/Outputs/SaSa_Section_2_2/support/browser_evidence/XHS_P02_full.txt</x:v>
      </x:c>
      <x:c r="V30" s="6" t="str"/>
      <x:c r="W30" s="6" t="str">
        <x:v>commercial_promotion</x:v>
      </x:c>
      <x:c r="X30" s="6" t="str">
        <x:v>No verified purchase; do not infer intent from inquiry</x:v>
      </x:c>
      <x:c r="Y30" s="7" t="b">
        <x:v>0</x:v>
      </x:c>
    </x:row>
    <x:row r="31" ht="52" customHeight="1">
      <x:c r="A31" s="6" t="str">
        <x:v>XHS_P03_C01</x:v>
      </x:c>
      <x:c r="B31" s="6" t="str">
        <x:v>XHS_P03</x:v>
      </x:c>
      <x:c r="C31" s="6" t="str">
        <x:v>Xiaohongshu</x:v>
      </x:c>
      <x:c r="D31" s="6" t="str">
        <x:v>valid</x:v>
      </x:c>
      <x:c r="E31" s="6" t="str">
        <x:v>很酷诶</x:v>
      </x:c>
      <x:c r="F31" s="6" t="str">
        <x:v>Very cool.</x:v>
      </x:c>
      <x:c r="G31" s="6" t="str">
        <x:v>很酷诶</x:v>
      </x:c>
      <x:c r="H31" s="6" t="str">
        <x:v>Aesthetic reaction on Halloween day, not pre-Halloween purchase intention.</x:v>
      </x:c>
      <x:c r="I31" s="6" t="n">
        <x:v>1</x:v>
      </x:c>
      <x:c r="J31" s="6" t="n">
        <x:v>0</x:v>
      </x:c>
      <x:c r="K31" s="6" t="n">
        <x:v>0</x:v>
      </x:c>
      <x:c r="L31" s="6" t="n">
        <x:v>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str">
        <x:v>top_level</x:v>
      </x:c>
      <x:c r="R31" s="6" t="str">
        <x:v>unknown</x:v>
      </x:c>
      <x:c r="S31" s="6" t="str">
        <x:v>unknown</x:v>
      </x:c>
      <x:c r="T31" s="6" t="str"/>
      <x:c r="U31" s="6" t="str">
        <x:v>RESEARCH_WORKSPACE/Outputs/SaSa_Section_2_2/support/browser_evidence/XHS_P03_full.txt</x:v>
      </x:c>
      <x:c r="V31" s="6" t="str"/>
      <x:c r="W31" s="6" t="str">
        <x:v>effect_praise</x:v>
      </x:c>
      <x:c r="X31" s="6" t="str">
        <x:v>No verified purchase; praise, interest, information and saved-look intentions distinguished</x:v>
      </x:c>
      <x:c r="Y31" s="7" t="b">
        <x:v>0</x:v>
      </x:c>
    </x:row>
    <x:row r="32" ht="52" customHeight="1">
      <x:c r="A32" s="6" t="str">
        <x:v>XHS_P05_C01</x:v>
      </x:c>
      <x:c r="B32" s="6" t="str">
        <x:v>XHS_P05</x:v>
      </x:c>
      <x:c r="C32" s="6" t="str">
        <x:v>Xiaohongshu</x:v>
      </x:c>
      <x:c r="D32" s="6" t="str">
        <x:v>valid</x:v>
      </x:c>
      <x:c r="E32" s="6" t="str">
        <x:v>好想知道是什么睫毛</x:v>
      </x:c>
      <x:c r="F32" s="6" t="str">
        <x:v>I really want to know which eyelashes these are.</x:v>
      </x:c>
      <x:c r="G32" s="6" t="str">
        <x:v>是什么睫毛</x:v>
      </x:c>
      <x:c r="H32" s="6" t="str">
        <x:v>Asks the false-eyelash product used. The commenter display name is not part of the comment and is not coded as a purchase statement.</x:v>
      </x:c>
      <x:c r="I32" s="6" t="n">
        <x:v>0</x:v>
      </x:c>
      <x:c r="J32" s="6" t="n">
        <x:v>0</x:v>
      </x:c>
      <x:c r="K32" s="6" t="n">
        <x:v>1</x:v>
      </x:c>
      <x:c r="L32" s="6" t="n">
        <x:v>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str">
        <x:v>top_level</x:v>
      </x:c>
      <x:c r="R32" s="6" t="str">
        <x:v>2026</x:v>
      </x:c>
      <x:c r="S32" s="6" t="str">
        <x:v>unknown_exact_date</x:v>
      </x:c>
      <x:c r="T32" s="6" t="str"/>
      <x:c r="U32" s="6" t="str">
        <x:v>RESEARCH_WORKSPACE/Outputs/SaSa_Section_2_2/support/browser_evidence/XHS_P05_full.txt</x:v>
      </x:c>
      <x:c r="V32" s="6" t="str"/>
      <x:c r="W32" s="6" t="str">
        <x:v>information_request</x:v>
      </x:c>
      <x:c r="X32" s="6" t="str">
        <x:v>No verified purchase; product inquiries and praise are not purchasing evidence</x:v>
      </x:c>
      <x:c r="Y32" s="7" t="b">
        <x:v>0</x:v>
      </x:c>
    </x:row>
    <x:row r="33" ht="38" customHeight="1">
      <x:c r="A33" s="6" t="str">
        <x:v>XHS_P05_R01</x:v>
      </x:c>
      <x:c r="B33" s="6" t="str">
        <x:v>XHS_P05</x:v>
      </x:c>
      <x:c r="C33" s="6" t="str">
        <x:v>Xiaohongshu</x:v>
      </x:c>
      <x:c r="D33" s="6" t="str">
        <x:v>context_reply</x:v>
      </x:c>
      <x:c r="E33" s="6" t="str">
        <x:v>可糕假睫毛垂耳兔婴儿弯</x:v>
      </x:c>
      <x:c r="F33" s="6" t="str">
        <x:v>可糕 false eyelashes, 垂耳兔婴儿弯 style.</x:v>
      </x:c>
      <x:c r="G33" s="6" t="str">
        <x:v>可糕假睫毛垂耳兔婴儿弯</x:v>
      </x:c>
      <x:c r="H33" s="6" t="str">
        <x:v>Explicit 作者 badge. Product name retained without independently verifying brand spelling or availability.</x:v>
      </x:c>
      <x:c r="I33" s="6" t="n">
        <x:v>0</x:v>
      </x:c>
      <x:c r="J33" s="6" t="n">
        <x:v>0</x:v>
      </x:c>
      <x:c r="K33" s="6" t="n">
        <x:v>0</x:v>
      </x:c>
      <x:c r="L33" s="6" t="n">
        <x:v>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str">
        <x:v>creator_reply</x:v>
      </x:c>
      <x:c r="R33" s="6" t="str">
        <x:v>2026</x:v>
      </x:c>
      <x:c r="S33" s="6" t="str">
        <x:v>unknown_exact_date</x:v>
      </x:c>
      <x:c r="T33" s="6" t="str"/>
      <x:c r="U33" s="6" t="str">
        <x:v>RESEARCH_WORKSPACE/Outputs/SaSa_Section_2_2/support/browser_evidence/XHS_P05_full.txt</x:v>
      </x:c>
      <x:c r="V33" s="6" t="str"/>
      <x:c r="W33" s="6" t="str">
        <x:v>creator_response</x:v>
      </x:c>
      <x:c r="X33" s="6" t="str">
        <x:v>No verified purchase; product inquiries and praise are not purchasing evidence</x:v>
      </x:c>
      <x:c r="Y33" s="7" t="b">
        <x:v>0</x:v>
      </x:c>
    </x:row>
    <x:row r="34" ht="38" customHeight="1">
      <x:c r="A34" s="6" t="str">
        <x:v>XHS_P05_C02</x:v>
      </x:c>
      <x:c r="B34" s="6" t="str">
        <x:v>XHS_P05</x:v>
      </x:c>
      <x:c r="C34" s="6" t="str">
        <x:v>Xiaohongshu</x:v>
      </x:c>
      <x:c r="D34" s="6" t="str">
        <x:v>valid</x:v>
      </x:c>
      <x:c r="E34" s="6" t="str">
        <x:v>宝子这个假发谁家的呀</x:v>
      </x:c>
      <x:c r="F34" s="6" t="str">
        <x:v>Which brand or seller is this wig from?</x:v>
      </x:c>
      <x:c r="G34" s="6" t="str">
        <x:v>这个假发谁家的</x:v>
      </x:c>
      <x:c r="H34" s="6" t="str">
        <x:v>Wig inquiry concerns a costume accessory, not a cosmetics product. Does not establish purchase intention.</x:v>
      </x:c>
      <x:c r="I34" s="6" t="n">
        <x:v>0</x:v>
      </x:c>
      <x:c r="J34" s="6" t="n">
        <x:v>0</x:v>
      </x:c>
      <x:c r="K34" s="6" t="n">
        <x:v>0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  <x:c r="P34" s="6" t="n">
        <x:v>1</x:v>
      </x:c>
      <x:c r="Q34" s="6" t="str">
        <x:v>top_level</x:v>
      </x:c>
      <x:c r="R34" s="6" t="str">
        <x:v>2026</x:v>
      </x:c>
      <x:c r="S34" s="6" t="str">
        <x:v>unknown_exact_date</x:v>
      </x:c>
      <x:c r="T34" s="6" t="str"/>
      <x:c r="U34" s="6" t="str">
        <x:v>RESEARCH_WORKSPACE/Outputs/SaSa_Section_2_2/support/browser_evidence/XHS_P05_full.txt</x:v>
      </x:c>
      <x:c r="V34" s="6" t="str"/>
      <x:c r="W34" s="6" t="str">
        <x:v>information_request</x:v>
      </x:c>
      <x:c r="X34" s="6" t="str">
        <x:v>No verified purchase; product inquiries and praise are not purchasing evidence</x:v>
      </x:c>
      <x:c r="Y34" s="7" t="b">
        <x:v>0</x:v>
      </x:c>
    </x:row>
    <x:row r="35" ht="38" customHeight="1">
      <x:c r="A35" s="6" t="str">
        <x:v>XHS_P05_R02</x:v>
      </x:c>
      <x:c r="B35" s="6" t="str">
        <x:v>XHS_P05</x:v>
      </x:c>
      <x:c r="C35" s="6" t="str">
        <x:v>Xiaohongshu</x:v>
      </x:c>
      <x:c r="D35" s="6" t="str">
        <x:v>context_reply</x:v>
      </x:c>
      <x:c r="E35" s="6" t="str">
        <x:v>粉丝👗</x:v>
      </x:c>
      <x:c r="F35" s="6" t="str">
        <x:v>粉丝👗 (literal wording retained; coded meaning uncertain).</x:v>
      </x:c>
      <x:c r="G35" s="6" t="str">
        <x:v>粉丝👗</x:v>
      </x:c>
      <x:c r="H35" s="6" t="str">
        <x:v>Literal text contains emoji shorthand. Do not infer a product, seller, group invitation or transaction from it.</x:v>
      </x:c>
      <x:c r="I35" s="6" t="n">
        <x:v>0</x:v>
      </x:c>
      <x:c r="J35" s="6" t="n">
        <x:v>0</x:v>
      </x:c>
      <x:c r="K35" s="6" t="n">
        <x:v>0</x:v>
      </x:c>
      <x:c r="L35" s="6" t="n">
        <x:v>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str">
        <x:v>creator_reply</x:v>
      </x:c>
      <x:c r="R35" s="6" t="str">
        <x:v>2026</x:v>
      </x:c>
      <x:c r="S35" s="6" t="str">
        <x:v>unknown_exact_date</x:v>
      </x:c>
      <x:c r="T35" s="6" t="str"/>
      <x:c r="U35" s="6" t="str">
        <x:v>RESEARCH_WORKSPACE/Outputs/SaSa_Section_2_2/support/browser_evidence/XHS_P05_full.txt</x:v>
      </x:c>
      <x:c r="V35" s="6" t="str"/>
      <x:c r="W35" s="6" t="str">
        <x:v>creator_response</x:v>
      </x:c>
      <x:c r="X35" s="6" t="str">
        <x:v>No verified purchase; product inquiries and praise are not purchasing evidence</x:v>
      </x:c>
      <x:c r="Y35" s="7" t="b">
        <x:v>0</x:v>
      </x:c>
    </x:row>
    <x:row r="36" ht="52" customHeight="1">
      <x:c r="A36" s="6" t="str">
        <x:v>XHS_P05_C03</x:v>
      </x:c>
      <x:c r="B36" s="6" t="str">
        <x:v>XHS_P05</x:v>
      </x:c>
      <x:c r="C36" s="6" t="str">
        <x:v>Xiaohongshu</x:v>
      </x:c>
      <x:c r="D36" s="6" t="str">
        <x:v>valid</x:v>
      </x:c>
      <x:c r="E36" s="6" t="str">
        <x:v>宝宝问问美瞳花色</x:v>
      </x:c>
      <x:c r="F36" s="6" t="str">
        <x:v>May I ask the design or colour of the cosmetic contact lenses?</x:v>
      </x:c>
      <x:c r="G36" s="6" t="str">
        <x:v>美瞳花色</x:v>
      </x:c>
      <x:c r="H36" s="6" t="str">
        <x:v>Contact-lens inquiry is a separate non-cosmetic accessory category, not the lipstick/eyeliner product demand under study.</x:v>
      </x:c>
      <x:c r="I36" s="6" t="n">
        <x:v>0</x:v>
      </x:c>
      <x:c r="J36" s="6" t="n">
        <x:v>0</x:v>
      </x:c>
      <x:c r="K36" s="6" t="n">
        <x:v>0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  <x:c r="P36" s="6" t="n">
        <x:v>1</x:v>
      </x:c>
      <x:c r="Q36" s="6" t="str">
        <x:v>top_level</x:v>
      </x:c>
      <x:c r="R36" s="6" t="str">
        <x:v>2026</x:v>
      </x:c>
      <x:c r="S36" s="6" t="str">
        <x:v>unknown_exact_date</x:v>
      </x:c>
      <x:c r="T36" s="6" t="str"/>
      <x:c r="U36" s="6" t="str">
        <x:v>RESEARCH_WORKSPACE/Outputs/SaSa_Section_2_2/support/browser_evidence/XHS_P05_full.txt</x:v>
      </x:c>
      <x:c r="V36" s="6" t="str"/>
      <x:c r="W36" s="6" t="str">
        <x:v>information_request</x:v>
      </x:c>
      <x:c r="X36" s="6" t="str">
        <x:v>No verified purchase; product inquiries and praise are not purchasing evidence</x:v>
      </x:c>
      <x:c r="Y36" s="7" t="b">
        <x:v>0</x:v>
      </x:c>
    </x:row>
    <x:row r="37" ht="52" customHeight="1">
      <x:c r="A37" s="6" t="str">
        <x:v>XHS_P05_R03</x:v>
      </x:c>
      <x:c r="B37" s="6" t="str">
        <x:v>XHS_P05</x:v>
      </x:c>
      <x:c r="C37" s="6" t="str">
        <x:v>Xiaohongshu</x:v>
      </x:c>
      <x:c r="D37" s="6" t="str">
        <x:v>context_reply</x:v>
      </x:c>
      <x:c r="E37" s="6" t="str">
        <x:v>sakura vision 塞勒涅之眠 月中上🍠🎶</x:v>
      </x:c>
      <x:c r="F37" s="6" t="str">
        <x:v>sakura vision 塞勒涅之眠; 月中上🍠🎶 (remaining wording retained).</x:v>
      </x:c>
      <x:c r="G37" s="6" t="str">
        <x:v>sakura vision 塞勒涅之眠 月中上🍠🎶</x:v>
      </x:c>
      <x:c r="H37" s="6" t="str">
        <x:v>Explicit 作者 badge. Named item and emoji shorthand are not independently verified; no inferred launch date, retailer or recommendation.</x:v>
      </x:c>
      <x:c r="I37" s="6" t="n">
        <x:v>0</x:v>
      </x:c>
      <x:c r="J37" s="6" t="n">
        <x:v>0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str">
        <x:v>creator_reply</x:v>
      </x:c>
      <x:c r="R37" s="6" t="str">
        <x:v>2026</x:v>
      </x:c>
      <x:c r="S37" s="6" t="str">
        <x:v>unknown_exact_date</x:v>
      </x:c>
      <x:c r="T37" s="6" t="str"/>
      <x:c r="U37" s="6" t="str">
        <x:v>RESEARCH_WORKSPACE/Outputs/SaSa_Section_2_2/support/browser_evidence/XHS_P05_full.txt</x:v>
      </x:c>
      <x:c r="V37" s="6" t="str"/>
      <x:c r="W37" s="6" t="str">
        <x:v>creator_response</x:v>
      </x:c>
      <x:c r="X37" s="6" t="str">
        <x:v>No verified purchase; product inquiries and praise are not purchasing evidence</x:v>
      </x:c>
      <x:c r="Y37" s="7" t="b">
        <x:v>0</x:v>
      </x:c>
    </x:row>
    <x:row r="38" ht="38" customHeight="1">
      <x:c r="A38" s="6" t="str">
        <x:v>XHS_P05_C04</x:v>
      </x:c>
      <x:c r="B38" s="6" t="str">
        <x:v>XHS_P05</x:v>
      </x:c>
      <x:c r="C38" s="6" t="str">
        <x:v>Xiaohongshu</x:v>
      </x:c>
      <x:c r="D38" s="6" t="str">
        <x:v>valid</x:v>
      </x:c>
      <x:c r="E38" s="6" t="str">
        <x:v>好好看</x:v>
      </x:c>
      <x:c r="F38" s="6" t="str">
        <x:v>So beautiful.</x:v>
      </x:c>
      <x:c r="G38" s="6" t="str">
        <x:v>好好看</x:v>
      </x:c>
      <x:c r="H38" s="6" t="str">
        <x:v>Generic positive visual appraisal. Specific product effect and purchase intent are unknown.</x:v>
      </x:c>
      <x:c r="I38" s="6" t="n">
        <x:v>1</x:v>
      </x:c>
      <x:c r="J38" s="6" t="n">
        <x:v>0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str">
        <x:v>top_level</x:v>
      </x:c>
      <x:c r="R38" s="6" t="str">
        <x:v>2026</x:v>
      </x:c>
      <x:c r="S38" s="6" t="str">
        <x:v>unknown_exact_date</x:v>
      </x:c>
      <x:c r="T38" s="6" t="str"/>
      <x:c r="U38" s="6" t="str">
        <x:v>RESEARCH_WORKSPACE/Outputs/SaSa_Section_2_2/support/browser_evidence/XHS_P05_full.txt</x:v>
      </x:c>
      <x:c r="V38" s="6" t="str"/>
      <x:c r="W38" s="6" t="str">
        <x:v>effect_praise</x:v>
      </x:c>
      <x:c r="X38" s="6" t="str">
        <x:v>No verified purchase; product inquiries and praise are not purchasing evidence</x:v>
      </x:c>
      <x:c r="Y38" s="7" t="b">
        <x:v>0</x:v>
      </x:c>
    </x:row>
    <x:row r="39" ht="38" customHeight="1">
      <x:c r="A39" s="6" t="str">
        <x:v>XHS_P05_R04</x:v>
      </x:c>
      <x:c r="B39" s="6" t="str">
        <x:v>XHS_P05</x:v>
      </x:c>
      <x:c r="C39" s="6" t="str">
        <x:v>Xiaohongshu</x:v>
      </x:c>
      <x:c r="D39" s="6" t="str">
        <x:v>context_reply</x:v>
      </x:c>
      <x:c r="E39" s="6" t="str">
        <x:v>么么</x:v>
      </x:c>
      <x:c r="F39" s="6" t="str">
        <x:v>Kisses / affectionate thanks.</x:v>
      </x:c>
      <x:c r="G39" s="6" t="str">
        <x:v>么么</x:v>
      </x:c>
      <x:c r="H39" s="6" t="str">
        <x:v>Creator response to praise; not consumer evidence.</x:v>
      </x:c>
      <x:c r="I39" s="6" t="n">
        <x:v>0</x:v>
      </x:c>
      <x:c r="J39" s="6" t="n">
        <x:v>0</x:v>
      </x:c>
      <x:c r="K39" s="6" t="n">
        <x:v>0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str">
        <x:v>creator_reply</x:v>
      </x:c>
      <x:c r="R39" s="6" t="str">
        <x:v>2026</x:v>
      </x:c>
      <x:c r="S39" s="6" t="str">
        <x:v>unknown_exact_date</x:v>
      </x:c>
      <x:c r="T39" s="6" t="str"/>
      <x:c r="U39" s="6" t="str">
        <x:v>RESEARCH_WORKSPACE/Outputs/SaSa_Section_2_2/support/browser_evidence/XHS_P05_full.txt</x:v>
      </x:c>
      <x:c r="V39" s="6" t="str"/>
      <x:c r="W39" s="6" t="str">
        <x:v>creator_response</x:v>
      </x:c>
      <x:c r="X39" s="6" t="str">
        <x:v>No verified purchase; product inquiries and praise are not purchasing evidence</x:v>
      </x:c>
      <x:c r="Y39" s="7" t="b">
        <x:v>0</x:v>
      </x:c>
    </x:row>
    <x:row r="40" ht="38" customHeight="1">
      <x:c r="A40" s="6" t="str">
        <x:v>XHS_P05_C05</x:v>
      </x:c>
      <x:c r="B40" s="6" t="str">
        <x:v>XHS_P05</x:v>
      </x:c>
      <x:c r="C40" s="6" t="str">
        <x:v>Xiaohongshu</x:v>
      </x:c>
      <x:c r="D40" s="6" t="str">
        <x:v>valid</x:v>
      </x:c>
      <x:c r="E40" s="6" t="str">
        <x:v>问问眼线液笔</x:v>
      </x:c>
      <x:c r="F40" s="6" t="str">
        <x:v>May I ask which liquid eyeliner pen was used?</x:v>
      </x:c>
      <x:c r="G40" s="6" t="str">
        <x:v>眼线液笔</x:v>
      </x:c>
      <x:c r="H40" s="6" t="str">
        <x:v>Makeup-product identification request; no explicit purchase intention or unusual colour specified.</x:v>
      </x:c>
      <x:c r="I40" s="6" t="n">
        <x:v>0</x:v>
      </x:c>
      <x:c r="J40" s="6" t="n">
        <x:v>0</x:v>
      </x:c>
      <x:c r="K40" s="6" t="n">
        <x:v>1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str">
        <x:v>top_level</x:v>
      </x:c>
      <x:c r="R40" s="6" t="str">
        <x:v>2026</x:v>
      </x:c>
      <x:c r="S40" s="6" t="str">
        <x:v>unknown_exact_date</x:v>
      </x:c>
      <x:c r="T40" s="6" t="str"/>
      <x:c r="U40" s="6" t="str">
        <x:v>RESEARCH_WORKSPACE/Outputs/SaSa_Section_2_2/support/browser_evidence/XHS_P05_full.txt</x:v>
      </x:c>
      <x:c r="V40" s="6" t="str"/>
      <x:c r="W40" s="6" t="str">
        <x:v>information_request</x:v>
      </x:c>
      <x:c r="X40" s="6" t="str">
        <x:v>No verified purchase; product inquiries and praise are not purchasing evidence</x:v>
      </x:c>
      <x:c r="Y40" s="7" t="b">
        <x:v>0</x:v>
      </x:c>
    </x:row>
    <x:row r="41" ht="52" customHeight="1">
      <x:c r="A41" s="6" t="str">
        <x:v>XHS_P05_C06</x:v>
      </x:c>
      <x:c r="B41" s="6" t="str">
        <x:v>XHS_P05</x:v>
      </x:c>
      <x:c r="C41" s="6" t="str">
        <x:v>Xiaohongshu</x:v>
      </x:c>
      <x:c r="D41" s="6" t="str">
        <x:v>valid</x:v>
      </x:c>
      <x:c r="E41" s="6" t="str">
        <x:v>老师我是你第1.8万粉丝，哈哈，画的太好了</x:v>
      </x:c>
      <x:c r="F41" s="6" t="str">
        <x:v>I am your 18,000th follower, haha; the makeup is so well done.</x:v>
      </x:c>
      <x:c r="G41" s="6" t="str">
        <x:v>画的太好了</x:v>
      </x:c>
      <x:c r="H41" s="6" t="str">
        <x:v>Praises makeup execution. The follower claim is self-reported and irrelevant to buying; no follower statistic inferred.</x:v>
      </x:c>
      <x:c r="I41" s="6" t="n">
        <x:v>1</x:v>
      </x:c>
      <x:c r="J41" s="6" t="n">
        <x:v>0</x:v>
      </x:c>
      <x:c r="K41" s="6" t="n">
        <x:v>0</x:v>
      </x:c>
      <x:c r="L41" s="6" t="n">
        <x:v>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str">
        <x:v>top_level</x:v>
      </x:c>
      <x:c r="R41" s="6" t="str">
        <x:v>2026</x:v>
      </x:c>
      <x:c r="S41" s="6" t="str">
        <x:v>unknown_exact_date</x:v>
      </x:c>
      <x:c r="T41" s="6" t="str"/>
      <x:c r="U41" s="6" t="str">
        <x:v>RESEARCH_WORKSPACE/Outputs/SaSa_Section_2_2/support/browser_evidence/XHS_P05_full.txt</x:v>
      </x:c>
      <x:c r="V41" s="6" t="str"/>
      <x:c r="W41" s="6" t="str">
        <x:v>effect_praise</x:v>
      </x:c>
      <x:c r="X41" s="6" t="str">
        <x:v>No verified purchase; product inquiries and praise are not purchasing evidence</x:v>
      </x:c>
      <x:c r="Y41" s="7" t="b">
        <x:v>0</x:v>
      </x:c>
    </x:row>
    <x:row r="42" ht="38" customHeight="1">
      <x:c r="A42" s="6" t="str">
        <x:v>XHS_P05_R06</x:v>
      </x:c>
      <x:c r="B42" s="6" t="str">
        <x:v>XHS_P05</x:v>
      </x:c>
      <x:c r="C42" s="6" t="str">
        <x:v>Xiaohongshu</x:v>
      </x:c>
      <x:c r="D42" s="6" t="str">
        <x:v>context_reply</x:v>
      </x:c>
      <x:c r="E42" s="6" t="str">
        <x:v>嘿嘿</x:v>
      </x:c>
      <x:c r="F42" s="6" t="str">
        <x:v>Hehe.</x:v>
      </x:c>
      <x:c r="G42" s="6" t="str">
        <x:v>嘿嘿</x:v>
      </x:c>
      <x:c r="H42" s="6" t="str">
        <x:v>Creator response to praise; not consumer evidence.</x:v>
      </x:c>
      <x:c r="I42" s="6" t="n">
        <x:v>0</x:v>
      </x:c>
      <x:c r="J42" s="6" t="n">
        <x:v>0</x:v>
      </x:c>
      <x:c r="K42" s="6" t="n">
        <x:v>0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str">
        <x:v>creator_reply</x:v>
      </x:c>
      <x:c r="R42" s="6" t="str">
        <x:v>2026</x:v>
      </x:c>
      <x:c r="S42" s="6" t="str">
        <x:v>unknown_exact_date</x:v>
      </x:c>
      <x:c r="T42" s="6" t="str"/>
      <x:c r="U42" s="6" t="str">
        <x:v>RESEARCH_WORKSPACE/Outputs/SaSa_Section_2_2/support/browser_evidence/XHS_P05_full.txt</x:v>
      </x:c>
      <x:c r="V42" s="6" t="str"/>
      <x:c r="W42" s="6" t="str">
        <x:v>creator_response</x:v>
      </x:c>
      <x:c r="X42" s="6" t="str">
        <x:v>No verified purchase; product inquiries and praise are not purchasing evidence</x:v>
      </x:c>
      <x:c r="Y42" s="7" t="b">
        <x:v>0</x:v>
      </x:c>
    </x:row>
    <x:row r="43" ht="38" customHeight="1">
      <x:c r="A43" s="6" t="str">
        <x:v>XHS_P05_C07</x:v>
      </x:c>
      <x:c r="B43" s="6" t="str">
        <x:v>XHS_P05</x:v>
      </x:c>
      <x:c r="C43" s="6" t="str">
        <x:v>Xiaohongshu</x:v>
      </x:c>
      <x:c r="D43" s="6" t="str">
        <x:v>valid</x:v>
      </x:c>
      <x:c r="E43" s="6" t="str">
        <x:v>问问口红</x:v>
      </x:c>
      <x:c r="F43" s="6" t="str">
        <x:v>May I ask which lipstick was used?</x:v>
      </x:c>
      <x:c r="G43" s="6" t="str">
        <x:v>问问口红</x:v>
      </x:c>
      <x:c r="H43" s="6" t="str">
        <x:v>Lipstick identification request only; colour not specified in comment and no buying commitment.</x:v>
      </x:c>
      <x:c r="I43" s="6" t="n">
        <x:v>0</x:v>
      </x:c>
      <x:c r="J43" s="6" t="n">
        <x:v>0</x:v>
      </x:c>
      <x:c r="K43" s="6" t="n">
        <x:v>1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str">
        <x:v>top_level</x:v>
      </x:c>
      <x:c r="R43" s="6" t="str">
        <x:v>2026</x:v>
      </x:c>
      <x:c r="S43" s="6" t="str">
        <x:v>unknown_exact_date</x:v>
      </x:c>
      <x:c r="T43" s="6" t="str"/>
      <x:c r="U43" s="6" t="str">
        <x:v>RESEARCH_WORKSPACE/Outputs/SaSa_Section_2_2/support/browser_evidence/XHS_P05_full.txt</x:v>
      </x:c>
      <x:c r="V43" s="6" t="str"/>
      <x:c r="W43" s="6" t="str">
        <x:v>information_request</x:v>
      </x:c>
      <x:c r="X43" s="6" t="str">
        <x:v>No verified purchase; product inquiries and praise are not purchasing evidence</x:v>
      </x:c>
      <x:c r="Y43" s="7" t="b">
        <x:v>0</x:v>
      </x:c>
    </x:row>
    <x:row r="44" ht="38" customHeight="1">
      <x:c r="A44" s="6" t="str">
        <x:v>XHS_P05_C08</x:v>
      </x:c>
      <x:c r="B44" s="6" t="str">
        <x:v>XHS_P05</x:v>
      </x:c>
      <x:c r="C44" s="6" t="str">
        <x:v>Xiaohongshu</x:v>
      </x:c>
      <x:c r="D44" s="6" t="str">
        <x:v>valid</x:v>
      </x:c>
      <x:c r="E44" s="6" t="str">
        <x:v>老师可以问问美瞳吗</x:v>
      </x:c>
      <x:c r="F44" s="6" t="str">
        <x:v>May I ask about the cosmetic contact lenses?</x:v>
      </x:c>
      <x:c r="G44" s="6" t="str">
        <x:v>美瞳</x:v>
      </x:c>
      <x:c r="H44" s="6" t="str">
        <x:v>Contact-lens inquiry is separately coded as accessory context, not cosmetics-product demand.</x:v>
      </x:c>
      <x:c r="I44" s="6" t="n">
        <x:v>0</x:v>
      </x:c>
      <x:c r="J44" s="6" t="n">
        <x:v>0</x:v>
      </x:c>
      <x:c r="K44" s="6" t="n">
        <x:v>0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1</x:v>
      </x:c>
      <x:c r="Q44" s="6" t="str">
        <x:v>top_level</x:v>
      </x:c>
      <x:c r="R44" s="6" t="str">
        <x:v>2026</x:v>
      </x:c>
      <x:c r="S44" s="6" t="str">
        <x:v>unknown_exact_date</x:v>
      </x:c>
      <x:c r="T44" s="6" t="str"/>
      <x:c r="U44" s="6" t="str">
        <x:v>RESEARCH_WORKSPACE/Outputs/SaSa_Section_2_2/support/browser_evidence/XHS_P05_full.txt</x:v>
      </x:c>
      <x:c r="V44" s="6" t="str"/>
      <x:c r="W44" s="6" t="str">
        <x:v>information_request</x:v>
      </x:c>
      <x:c r="X44" s="6" t="str">
        <x:v>No verified purchase; product inquiries and praise are not purchasing evidence</x:v>
      </x:c>
      <x:c r="Y44" s="7" t="b">
        <x:v>0</x:v>
      </x:c>
    </x:row>
    <x:row r="45" ht="38" customHeight="1">
      <x:c r="A45" s="6" t="str">
        <x:v>XHS_P05_C09</x:v>
      </x:c>
      <x:c r="B45" s="6" t="str">
        <x:v>XHS_P05</x:v>
      </x:c>
      <x:c r="C45" s="6" t="str">
        <x:v>Xiaohongshu</x:v>
      </x:c>
      <x:c r="D45" s="6" t="str">
        <x:v>valid</x:v>
      </x:c>
      <x:c r="E45" s="6" t="str">
        <x:v>好美好美，蹲蹲头饰和衣服</x:v>
      </x:c>
      <x:c r="F45" s="6" t="str">
        <x:v>So beautiful; waiting for information on the headpiece and clothes.</x:v>
      </x:c>
      <x:c r="G45" s="6" t="str">
        <x:v>好美好美，蹲蹲头饰和衣服</x:v>
      </x:c>
      <x:c r="H45" s="6" t="str">
        <x:v>Visual praise plus costume/accessory information request. No cosmetics inquiry or buying statement.</x:v>
      </x:c>
      <x:c r="I45" s="6" t="n">
        <x:v>1</x:v>
      </x:c>
      <x:c r="J45" s="6" t="n">
        <x:v>0</x:v>
      </x:c>
      <x:c r="K45" s="6" t="n">
        <x:v>0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1</x:v>
      </x:c>
      <x:c r="Q45" s="6" t="str">
        <x:v>top_level</x:v>
      </x:c>
      <x:c r="R45" s="6" t="str">
        <x:v>2026</x:v>
      </x:c>
      <x:c r="S45" s="6" t="str">
        <x:v>unknown_exact_date</x:v>
      </x:c>
      <x:c r="T45" s="6" t="str"/>
      <x:c r="U45" s="6" t="str">
        <x:v>RESEARCH_WORKSPACE/Outputs/SaSa_Section_2_2/support/browser_evidence/XHS_P05_full.txt</x:v>
      </x:c>
      <x:c r="V45" s="6" t="str"/>
      <x:c r="W45" s="6" t="str">
        <x:v>effect_praise; information_request</x:v>
      </x:c>
      <x:c r="X45" s="6" t="str">
        <x:v>No verified purchase; product inquiries and praise are not purchasing evidence</x:v>
      </x:c>
      <x:c r="Y45" s="7" t="b">
        <x:v>0</x:v>
      </x:c>
    </x:row>
    <x:row r="46" ht="38" customHeight="1">
      <x:c r="A46" s="6" t="str">
        <x:v>XHS_P05_C10</x:v>
      </x:c>
      <x:c r="B46" s="6" t="str">
        <x:v>XHS_P05</x:v>
      </x:c>
      <x:c r="C46" s="6" t="str">
        <x:v>Xiaohongshu</x:v>
      </x:c>
      <x:c r="D46" s="6" t="str">
        <x:v>excluded</x:v>
      </x:c>
      <x:c r="E46" s="6" t="str">
        <x:v>前排</x:v>
      </x:c>
      <x:c r="F46" s="6" t="str">
        <x:v>Front row.</x:v>
      </x:c>
      <x:c r="G46" s="6" t="str">
        <x:v>前排</x:v>
      </x:c>
      <x:c r="H46" s="6" t="str">
        <x:v>Conventional early-comment marker; contains no interpretable makeup or purchase evidence.</x:v>
      </x:c>
      <x:c r="I46" s="6" t="n">
        <x:v>0</x:v>
      </x:c>
      <x:c r="J46" s="6" t="n">
        <x:v>0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str">
        <x:v>top_level</x:v>
      </x:c>
      <x:c r="R46" s="6" t="str">
        <x:v>2026</x:v>
      </x:c>
      <x:c r="S46" s="6" t="str">
        <x:v>unknown_exact_date</x:v>
      </x:c>
      <x:c r="T46" s="6" t="str"/>
      <x:c r="U46" s="6" t="str">
        <x:v>RESEARCH_WORKSPACE/Outputs/SaSa_Section_2_2/support/browser_evidence/XHS_P05_full.txt</x:v>
      </x:c>
      <x:c r="V46" s="6" t="str"/>
      <x:c r="W46" s="6" t="str">
        <x:v>other</x:v>
      </x:c>
      <x:c r="X46" s="6" t="str">
        <x:v>No verified purchase; product inquiries and praise are not purchasing evidence</x:v>
      </x:c>
      <x:c r="Y46" s="7" t="b">
        <x:v>0</x:v>
      </x:c>
    </x:row>
    <x:row r="47" ht="52" customHeight="1">
      <x:c r="A47" s="6" t="str">
        <x:v>XHS_P05_R10</x:v>
      </x:c>
      <x:c r="B47" s="6" t="str">
        <x:v>XHS_P05</x:v>
      </x:c>
      <x:c r="C47" s="6" t="str">
        <x:v>Xiaohongshu</x:v>
      </x:c>
      <x:c r="D47" s="6" t="str">
        <x:v>context_reply</x:v>
      </x:c>
      <x:c r="E47" s="6" t="str"/>
      <x:c r="F47" s="6" t="str"/>
      <x:c r="G47" s="6" t="str"/>
      <x:c r="H47" s="6" t="str">
        <x:v>Only three unlabelled image entries and a date were visible in the saved record; no text or image meaning transcribed. Original text intentionally empty.</x:v>
      </x:c>
      <x:c r="I47" s="6" t="n">
        <x:v>0</x:v>
      </x:c>
      <x:c r="J47" s="6" t="n">
        <x:v>0</x:v>
      </x:c>
      <x:c r="K47" s="6" t="n">
        <x:v>0</x:v>
      </x:c>
      <x:c r="L47" s="6" t="n">
        <x:v>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str">
        <x:v>creator_reply</x:v>
      </x:c>
      <x:c r="R47" s="6" t="str">
        <x:v>2026</x:v>
      </x:c>
      <x:c r="S47" s="6" t="str">
        <x:v>unknown_exact_date</x:v>
      </x:c>
      <x:c r="T47" s="6" t="str"/>
      <x:c r="U47" s="6" t="str">
        <x:v>RESEARCH_WORKSPACE/Outputs/SaSa_Section_2_2/support/browser_evidence/XHS_P05_full.txt</x:v>
      </x:c>
      <x:c r="V47" s="6" t="str"/>
      <x:c r="W47" s="6" t="str">
        <x:v>creator_response</x:v>
      </x:c>
      <x:c r="X47" s="6" t="str">
        <x:v>No verified purchase; product inquiries and praise are not purchasing evidence</x:v>
      </x:c>
      <x:c r="Y47" s="7" t="b">
        <x:v>0</x:v>
      </x:c>
    </x:row>
    <x:row r="48" ht="52" customHeight="1">
      <x:c r="A48" s="6" t="str">
        <x:v>XHS_P06_C01</x:v>
      </x:c>
      <x:c r="B48" s="6" t="str">
        <x:v>XHS_P06</x:v>
      </x:c>
      <x:c r="C48" s="6" t="str">
        <x:v>Xiaohongshu</x:v>
      </x:c>
      <x:c r="D48" s="6" t="str">
        <x:v>valid</x:v>
      </x:c>
      <x:c r="E48" s="6" t="str">
        <x:v>这个美瞳只戴一只眼睛的话 就是曼森了</x:v>
      </x:c>
      <x:c r="F48" s="6" t="str">
        <x:v>Wearing this contact lens in only one eye would make it look like Manson.</x:v>
      </x:c>
      <x:c r="G48" s="6" t="str">
        <x:v>这个美瞳只戴一只眼睛的话 就是曼森了</x:v>
      </x:c>
      <x:c r="H48" s="6" t="str">
        <x:v>Visual/character association involving lenses, not a buying statement; person identity not independently inferred.</x:v>
      </x:c>
      <x:c r="I48" s="6" t="n">
        <x:v>1</x:v>
      </x:c>
      <x:c r="J48" s="6" t="n">
        <x:v>0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1</x:v>
      </x:c>
      <x:c r="Q48" s="6" t="str">
        <x:v>top_level</x:v>
      </x:c>
      <x:c r="R48" s="6" t="str">
        <x:v>unknown</x:v>
      </x:c>
      <x:c r="S48" s="6" t="str">
        <x:v>unknown</x:v>
      </x:c>
      <x:c r="T48" s="6" t="str"/>
      <x:c r="U48" s="6" t="str">
        <x:v>RESEARCH_WORKSPACE/Outputs/SaSa_Section_2_2/support/browser_evidence/XHS_P06_dom.txt</x:v>
      </x:c>
      <x:c r="V48" s="6" t="str"/>
      <x:c r="W48" s="6" t="str">
        <x:v>visual_association</x:v>
      </x:c>
      <x:c r="X48" s="6" t="str">
        <x:v>No verified purchase; praise, interest, information and saved-look intentions distinguished</x:v>
      </x:c>
      <x:c r="Y48" s="7" t="b">
        <x:v>0</x:v>
      </x:c>
    </x:row>
    <x:row r="49" ht="52" customHeight="1">
      <x:c r="A49" s="6" t="str">
        <x:v>XHS_P06_R01</x:v>
      </x:c>
      <x:c r="B49" s="6" t="str">
        <x:v>XHS_P06</x:v>
      </x:c>
      <x:c r="C49" s="6" t="str">
        <x:v>Xiaohongshu</x:v>
      </x:c>
      <x:c r="D49" s="6" t="str">
        <x:v>context_reply</x:v>
      </x:c>
      <x:c r="E49" s="6" t="str">
        <x:v>没那么酷😭</x:v>
      </x:c>
      <x:c r="F49" s="6" t="str">
        <x:v>Not that cool 😭</x:v>
      </x:c>
      <x:c r="G49" s="6" t="str">
        <x:v>没那么酷😭</x:v>
      </x:c>
      <x:c r="H49" s="6" t="str">
        <x:v>Contextual reply only; not part of the top-level denominator. Explicit 作者 marker; product names and suggestions are not independently verified.</x:v>
      </x:c>
      <x:c r="I49" s="6" t="n">
        <x:v>0</x:v>
      </x:c>
      <x:c r="J49" s="6" t="n">
        <x:v>0</x:v>
      </x:c>
      <x:c r="K49" s="6" t="n">
        <x:v>0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str">
        <x:v>creator_reply</x:v>
      </x:c>
      <x:c r="R49" s="6" t="str">
        <x:v>unknown</x:v>
      </x:c>
      <x:c r="S49" s="6" t="str">
        <x:v>unknown</x:v>
      </x:c>
      <x:c r="T49" s="6" t="str"/>
      <x:c r="U49" s="6" t="str">
        <x:v>RESEARCH_WORKSPACE/Outputs/SaSa_Section_2_2/support/browser_evidence/XHS_P06_dom.txt</x:v>
      </x:c>
      <x:c r="V49" s="6" t="str"/>
      <x:c r="W49" s="6" t="str">
        <x:v>creator_response</x:v>
      </x:c>
      <x:c r="X49" s="6" t="str">
        <x:v>No verified purchase; praise, interest, information and saved-look intentions distinguished</x:v>
      </x:c>
      <x:c r="Y49" s="7" t="b">
        <x:v>0</x:v>
      </x:c>
    </x:row>
    <x:row r="50" ht="80" customHeight="1">
      <x:c r="A50" s="6" t="str">
        <x:v>XHS_P06_C02</x:v>
      </x:c>
      <x:c r="B50" s="6" t="str">
        <x:v>XHS_P06</x:v>
      </x:c>
      <x:c r="C50" s="6" t="str">
        <x:v>Xiaohongshu</x:v>
      </x:c>
      <x:c r="D50" s="6" t="str">
        <x:v>valid</x:v>
      </x:c>
      <x:c r="E50" s="6" t="str">
        <x:v>宝宝老师问问黑色头纱有🔗吗</x:v>
      </x:c>
      <x:c r="F50" s="6" t="str">
        <x:v>May I ask for a link to the black veil?</x:v>
      </x:c>
      <x:c r="G50" s="6" t="str">
        <x:v>黑色头纱有🔗吗</x:v>
      </x:c>
      <x:c r="H50" s="6" t="str">
        <x:v>Veil link request concerns an accessory, not cosmetics or a committed purchase. Final rule review: explicit request for a link is also T7 sourcing, consistent with general-material sourcing on IG_P03. The object is a veil, not cosmetics.</x:v>
      </x:c>
      <x:c r="I50" s="6" t="n">
        <x:v>0</x:v>
      </x:c>
      <x:c r="J50" s="6" t="n">
        <x:v>0</x:v>
      </x:c>
      <x:c r="K50" s="6" t="n">
        <x:v>0</x:v>
      </x:c>
      <x:c r="L50" s="6" t="n">
        <x:v>0</x:v>
      </x:c>
      <x:c r="M50" s="6" t="n">
        <x:v>0</x:v>
      </x:c>
      <x:c r="N50" s="6" t="n">
        <x:v>0</x:v>
      </x:c>
      <x:c r="O50" s="6" t="n">
        <x:v>1</x:v>
      </x:c>
      <x:c r="P50" s="6" t="n">
        <x:v>1</x:v>
      </x:c>
      <x:c r="Q50" s="6" t="str">
        <x:v>top_level</x:v>
      </x:c>
      <x:c r="R50" s="6" t="str">
        <x:v>unknown</x:v>
      </x:c>
      <x:c r="S50" s="6" t="str">
        <x:v>unknown</x:v>
      </x:c>
      <x:c r="T50" s="6" t="str"/>
      <x:c r="U50" s="6" t="str">
        <x:v>RESEARCH_WORKSPACE/Outputs/SaSa_Section_2_2/support/browser_evidence/XHS_P06_dom.txt</x:v>
      </x:c>
      <x:c r="V50" s="6" t="str"/>
      <x:c r="W50" s="6" t="str">
        <x:v>information_request</x:v>
      </x:c>
      <x:c r="X50" s="6" t="str">
        <x:v>No verified purchase; praise, interest, information and saved-look intentions distinguished</x:v>
      </x:c>
      <x:c r="Y50" s="7" t="b">
        <x:v>0</x:v>
      </x:c>
    </x:row>
    <x:row r="51" ht="52" customHeight="1">
      <x:c r="A51" s="6" t="str">
        <x:v>XHS_P06_R02</x:v>
      </x:c>
      <x:c r="B51" s="6" t="str">
        <x:v>XHS_P06</x:v>
      </x:c>
      <x:c r="C51" s="6" t="str">
        <x:v>Xiaohongshu</x:v>
      </x:c>
      <x:c r="D51" s="6" t="str">
        <x:v>context_reply</x:v>
      </x:c>
      <x:c r="E51" s="6" t="str">
        <x:v>是堕落天使家的～还有一款白色的我也觉得很好看</x:v>
      </x:c>
      <x:c r="F51" s="6" t="str">
        <x:v>It is from 堕落天使; there is also a white version that I think looks good.</x:v>
      </x:c>
      <x:c r="G51" s="6" t="str">
        <x:v>是堕落天使家的～还有一款白色的我也觉得很好看</x:v>
      </x:c>
      <x:c r="H51" s="6" t="str">
        <x:v>Contextual reply only; not part of the top-level denominator. Explicit 作者 marker; product names and suggestions are not independently verified.</x:v>
      </x:c>
      <x:c r="I51" s="6" t="n">
        <x:v>0</x:v>
      </x:c>
      <x:c r="J51" s="6" t="n">
        <x:v>0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str">
        <x:v>creator_reply</x:v>
      </x:c>
      <x:c r="R51" s="6" t="str">
        <x:v>unknown</x:v>
      </x:c>
      <x:c r="S51" s="6" t="str">
        <x:v>unknown</x:v>
      </x:c>
      <x:c r="T51" s="6" t="str"/>
      <x:c r="U51" s="6" t="str">
        <x:v>RESEARCH_WORKSPACE/Outputs/SaSa_Section_2_2/support/browser_evidence/XHS_P06_dom.txt</x:v>
      </x:c>
      <x:c r="V51" s="6" t="str"/>
      <x:c r="W51" s="6" t="str">
        <x:v>creator_response</x:v>
      </x:c>
      <x:c r="X51" s="6" t="str">
        <x:v>No verified purchase; praise, interest, information and saved-look intentions distinguished</x:v>
      </x:c>
      <x:c r="Y51" s="7" t="b">
        <x:v>0</x:v>
      </x:c>
    </x:row>
    <x:row r="52" ht="52" customHeight="1">
      <x:c r="A52" s="6" t="str">
        <x:v>XHS_P06_C03</x:v>
      </x:c>
      <x:c r="B52" s="6" t="str">
        <x:v>XHS_P06</x:v>
      </x:c>
      <x:c r="C52" s="6" t="str">
        <x:v>Xiaohongshu</x:v>
      </x:c>
      <x:c r="D52" s="6" t="str">
        <x:v>valid</x:v>
      </x:c>
      <x:c r="E52" s="6" t="str">
        <x:v>问问眼睫毛！</x:v>
      </x:c>
      <x:c r="F52" s="6" t="str">
        <x:v>May I ask which eyelashes were used?</x:v>
      </x:c>
      <x:c r="G52" s="6" t="str">
        <x:v>眼睫毛</x:v>
      </x:c>
      <x:c r="H52" s="6" t="str">
        <x:v>False-eyelash information request, consistent with P05; no buying commitment.</x:v>
      </x:c>
      <x:c r="I52" s="6" t="n">
        <x:v>0</x:v>
      </x:c>
      <x:c r="J52" s="6" t="n">
        <x:v>0</x:v>
      </x:c>
      <x:c r="K52" s="6" t="n">
        <x:v>1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str">
        <x:v>top_level</x:v>
      </x:c>
      <x:c r="R52" s="6" t="str">
        <x:v>unknown</x:v>
      </x:c>
      <x:c r="S52" s="6" t="str">
        <x:v>unknown</x:v>
      </x:c>
      <x:c r="T52" s="6" t="str"/>
      <x:c r="U52" s="6" t="str">
        <x:v>RESEARCH_WORKSPACE/Outputs/SaSa_Section_2_2/support/browser_evidence/XHS_P06_dom.txt</x:v>
      </x:c>
      <x:c r="V52" s="6" t="str"/>
      <x:c r="W52" s="6" t="str">
        <x:v>information_request</x:v>
      </x:c>
      <x:c r="X52" s="6" t="str">
        <x:v>No verified purchase; praise, interest, information and saved-look intentions distinguished</x:v>
      </x:c>
      <x:c r="Y52" s="7" t="b">
        <x:v>0</x:v>
      </x:c>
    </x:row>
    <x:row r="53" ht="52" customHeight="1">
      <x:c r="A53" s="6" t="str">
        <x:v>XHS_P06_R03</x:v>
      </x:c>
      <x:c r="B53" s="6" t="str">
        <x:v>XHS_P06</x:v>
      </x:c>
      <x:c r="C53" s="6" t="str">
        <x:v>Xiaohongshu</x:v>
      </x:c>
      <x:c r="D53" s="6" t="str">
        <x:v>context_reply</x:v>
      </x:c>
      <x:c r="E53" s="6" t="str">
        <x:v>有很多同款可以直接识图 可以看到嘛</x:v>
      </x:c>
      <x:c r="F53" s="6" t="str">
        <x:v>There are many similar ones; you can use image search. Can you see it?</x:v>
      </x:c>
      <x:c r="G53" s="6" t="str">
        <x:v>有很多同款可以直接识图 可以看到嘛</x:v>
      </x:c>
      <x:c r="H53" s="6" t="str">
        <x:v>Contextual reply only; not part of the top-level denominator. Explicit 作者 marker; product names and suggestions are not independently verified.</x:v>
      </x:c>
      <x:c r="I53" s="6" t="n">
        <x:v>0</x:v>
      </x:c>
      <x:c r="J53" s="6" t="n">
        <x:v>0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str">
        <x:v>creator_reply</x:v>
      </x:c>
      <x:c r="R53" s="6" t="str">
        <x:v>unknown</x:v>
      </x:c>
      <x:c r="S53" s="6" t="str">
        <x:v>unknown</x:v>
      </x:c>
      <x:c r="T53" s="6" t="str"/>
      <x:c r="U53" s="6" t="str">
        <x:v>RESEARCH_WORKSPACE/Outputs/SaSa_Section_2_2/support/browser_evidence/XHS_P06_dom.txt</x:v>
      </x:c>
      <x:c r="V53" s="6" t="str"/>
      <x:c r="W53" s="6" t="str">
        <x:v>creator_response</x:v>
      </x:c>
      <x:c r="X53" s="6" t="str">
        <x:v>No verified purchase; praise, interest, information and saved-look intentions distinguished</x:v>
      </x:c>
      <x:c r="Y53" s="7" t="b">
        <x:v>0</x:v>
      </x:c>
    </x:row>
    <x:row r="54" ht="52" customHeight="1">
      <x:c r="A54" s="6" t="str">
        <x:v>XHS_P06_C04</x:v>
      </x:c>
      <x:c r="B54" s="6" t="str">
        <x:v>XHS_P06</x:v>
      </x:c>
      <x:c r="C54" s="6" t="str">
        <x:v>Xiaohongshu</x:v>
      </x:c>
      <x:c r="D54" s="6" t="str">
        <x:v>valid</x:v>
      </x:c>
      <x:c r="E54" s="6" t="str">
        <x:v>美瞳是什么！</x:v>
      </x:c>
      <x:c r="F54" s="6" t="str">
        <x:v>What are the cosmetic contact lenses?</x:v>
      </x:c>
      <x:c r="G54" s="6" t="str">
        <x:v>美瞳是什么</x:v>
      </x:c>
      <x:c r="H54" s="6" t="str">
        <x:v>Contact-lens information, separately identified from cosmetics.</x:v>
      </x:c>
      <x:c r="I54" s="6" t="n">
        <x:v>0</x:v>
      </x:c>
      <x:c r="J54" s="6" t="n">
        <x:v>0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1</x:v>
      </x:c>
      <x:c r="Q54" s="6" t="str">
        <x:v>top_level</x:v>
      </x:c>
      <x:c r="R54" s="6" t="str">
        <x:v>unknown</x:v>
      </x:c>
      <x:c r="S54" s="6" t="str">
        <x:v>unknown</x:v>
      </x:c>
      <x:c r="T54" s="6" t="str"/>
      <x:c r="U54" s="6" t="str">
        <x:v>RESEARCH_WORKSPACE/Outputs/SaSa_Section_2_2/support/browser_evidence/XHS_P06_dom.txt</x:v>
      </x:c>
      <x:c r="V54" s="6" t="str"/>
      <x:c r="W54" s="6" t="str">
        <x:v>information_request</x:v>
      </x:c>
      <x:c r="X54" s="6" t="str">
        <x:v>No verified purchase; praise, interest, information and saved-look intentions distinguished</x:v>
      </x:c>
      <x:c r="Y54" s="7" t="b">
        <x:v>0</x:v>
      </x:c>
    </x:row>
    <x:row r="55" ht="52" customHeight="1">
      <x:c r="A55" s="6" t="str">
        <x:v>XHS_P06_R04</x:v>
      </x:c>
      <x:c r="B55" s="6" t="str">
        <x:v>XHS_P06</x:v>
      </x:c>
      <x:c r="C55" s="6" t="str">
        <x:v>Xiaohongshu</x:v>
      </x:c>
      <x:c r="D55" s="6" t="str">
        <x:v>context_reply</x:v>
      </x:c>
      <x:c r="E55" s="6" t="str">
        <x:v>冥夜女巫！</x:v>
      </x:c>
      <x:c r="F55" s="6" t="str">
        <x:v>冥夜女巫!</x:v>
      </x:c>
      <x:c r="G55" s="6" t="str">
        <x:v>冥夜女巫！</x:v>
      </x:c>
      <x:c r="H55" s="6" t="str">
        <x:v>Contextual reply only; not part of the top-level denominator. Explicit 作者 marker; product names and suggestions are not independently verified.</x:v>
      </x:c>
      <x:c r="I55" s="6" t="n">
        <x:v>0</x:v>
      </x:c>
      <x:c r="J55" s="6" t="n">
        <x:v>0</x:v>
      </x:c>
      <x:c r="K55" s="6" t="n">
        <x:v>0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str">
        <x:v>creator_reply</x:v>
      </x:c>
      <x:c r="R55" s="6" t="str">
        <x:v>unknown</x:v>
      </x:c>
      <x:c r="S55" s="6" t="str">
        <x:v>unknown</x:v>
      </x:c>
      <x:c r="T55" s="6" t="str"/>
      <x:c r="U55" s="6" t="str">
        <x:v>RESEARCH_WORKSPACE/Outputs/SaSa_Section_2_2/support/browser_evidence/XHS_P06_dom.txt</x:v>
      </x:c>
      <x:c r="V55" s="6" t="str"/>
      <x:c r="W55" s="6" t="str">
        <x:v>creator_response</x:v>
      </x:c>
      <x:c r="X55" s="6" t="str">
        <x:v>No verified purchase; praise, interest, information and saved-look intentions distinguished</x:v>
      </x:c>
      <x:c r="Y55" s="7" t="b">
        <x:v>0</x:v>
      </x:c>
    </x:row>
    <x:row r="56" ht="52" customHeight="1">
      <x:c r="A56" s="6" t="str">
        <x:v>XHS_P06_C05</x:v>
      </x:c>
      <x:c r="B56" s="6" t="str">
        <x:v>XHS_P06</x:v>
      </x:c>
      <x:c r="C56" s="6" t="str">
        <x:v>Xiaohongshu</x:v>
      </x:c>
      <x:c r="D56" s="6" t="str">
        <x:v>valid</x:v>
      </x:c>
      <x:c r="E56" s="6" t="str">
        <x:v>姐姐好美啊！好喜欢</x:v>
      </x:c>
      <x:c r="F56" s="6" t="str">
        <x:v>So beautiful! I really like it.</x:v>
      </x:c>
      <x:c r="G56" s="6" t="str">
        <x:v>好美啊！好喜欢</x:v>
      </x:c>
      <x:c r="H56" s="6" t="str">
        <x:v>Positive visual appraisal only; commercial-looking account name does not make this non-promotional comment an advertisement.</x:v>
      </x:c>
      <x:c r="I56" s="6" t="n">
        <x:v>1</x:v>
      </x:c>
      <x:c r="J56" s="6" t="n">
        <x:v>0</x:v>
      </x:c>
      <x:c r="K56" s="6" t="n">
        <x:v>0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str">
        <x:v>top_level</x:v>
      </x:c>
      <x:c r="R56" s="6" t="str">
        <x:v>2026</x:v>
      </x:c>
      <x:c r="S56" s="6" t="str">
        <x:v>unknown_exact_date</x:v>
      </x:c>
      <x:c r="T56" s="6" t="str"/>
      <x:c r="U56" s="6" t="str">
        <x:v>RESEARCH_WORKSPACE/Outputs/SaSa_Section_2_2/support/browser_evidence/XHS_P06_dom.txt</x:v>
      </x:c>
      <x:c r="V56" s="6" t="str"/>
      <x:c r="W56" s="6" t="str">
        <x:v>effect_praise</x:v>
      </x:c>
      <x:c r="X56" s="6" t="str">
        <x:v>No verified purchase; praise, interest, information and saved-look intentions distinguished</x:v>
      </x:c>
      <x:c r="Y56" s="7" t="b">
        <x:v>0</x:v>
      </x:c>
    </x:row>
    <x:row r="57" ht="52" customHeight="1">
      <x:c r="A57" s="6" t="str">
        <x:v>XHS_P06_C06</x:v>
      </x:c>
      <x:c r="B57" s="6" t="str">
        <x:v>XHS_P06</x:v>
      </x:c>
      <x:c r="C57" s="6" t="str">
        <x:v>Xiaohongshu</x:v>
      </x:c>
      <x:c r="D57" s="6" t="str">
        <x:v>valid</x:v>
      </x:c>
      <x:c r="E57" s="6" t="str">
        <x:v>好美！！</x:v>
      </x:c>
      <x:c r="F57" s="6" t="str">
        <x:v>So beautiful!!</x:v>
      </x:c>
      <x:c r="G57" s="6" t="str">
        <x:v>好美</x:v>
      </x:c>
      <x:c r="H57" s="6" t="str">
        <x:v>Positive appearance appraisal, not purchase interest.</x:v>
      </x:c>
      <x:c r="I57" s="6" t="n">
        <x:v>1</x:v>
      </x:c>
      <x:c r="J57" s="6" t="n">
        <x:v>0</x:v>
      </x:c>
      <x:c r="K57" s="6" t="n">
        <x:v>0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str">
        <x:v>top_level</x:v>
      </x:c>
      <x:c r="R57" s="6" t="str">
        <x:v>unknown</x:v>
      </x:c>
      <x:c r="S57" s="6" t="str">
        <x:v>unknown</x:v>
      </x:c>
      <x:c r="T57" s="6" t="str"/>
      <x:c r="U57" s="6" t="str">
        <x:v>RESEARCH_WORKSPACE/Outputs/SaSa_Section_2_2/support/browser_evidence/XHS_P06_dom.txt</x:v>
      </x:c>
      <x:c r="V57" s="6" t="str"/>
      <x:c r="W57" s="6" t="str">
        <x:v>effect_praise</x:v>
      </x:c>
      <x:c r="X57" s="6" t="str">
        <x:v>No verified purchase; praise, interest, information and saved-look intentions distinguished</x:v>
      </x:c>
      <x:c r="Y57" s="7" t="b">
        <x:v>0</x:v>
      </x:c>
    </x:row>
    <x:row r="58" ht="52" customHeight="1">
      <x:c r="A58" s="6" t="str">
        <x:v>XHS_P06_R06</x:v>
      </x:c>
      <x:c r="B58" s="6" t="str">
        <x:v>XHS_P06</x:v>
      </x:c>
      <x:c r="C58" s="6" t="str">
        <x:v>Xiaohongshu</x:v>
      </x:c>
      <x:c r="D58" s="6" t="str">
        <x:v>context_reply</x:v>
      </x:c>
      <x:c r="E58" s="6" t="str">
        <x:v>谢谢！！</x:v>
      </x:c>
      <x:c r="F58" s="6" t="str">
        <x:v>Thank you!!</x:v>
      </x:c>
      <x:c r="G58" s="6" t="str">
        <x:v>谢谢！！</x:v>
      </x:c>
      <x:c r="H58" s="6" t="str">
        <x:v>Contextual reply only; not part of the top-level denominator. Explicit 作者 marker; product names and suggestions are not independently verified.</x:v>
      </x:c>
      <x:c r="I58" s="6" t="n">
        <x:v>0</x:v>
      </x:c>
      <x:c r="J58" s="6" t="n">
        <x:v>0</x:v>
      </x:c>
      <x:c r="K58" s="6" t="n">
        <x:v>0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str">
        <x:v>creator_reply</x:v>
      </x:c>
      <x:c r="R58" s="6" t="str">
        <x:v>unknown</x:v>
      </x:c>
      <x:c r="S58" s="6" t="str">
        <x:v>unknown</x:v>
      </x:c>
      <x:c r="T58" s="6" t="str"/>
      <x:c r="U58" s="6" t="str">
        <x:v>RESEARCH_WORKSPACE/Outputs/SaSa_Section_2_2/support/browser_evidence/XHS_P06_dom.txt</x:v>
      </x:c>
      <x:c r="V58" s="6" t="str"/>
      <x:c r="W58" s="6" t="str">
        <x:v>creator_response</x:v>
      </x:c>
      <x:c r="X58" s="6" t="str">
        <x:v>No verified purchase; praise, interest, information and saved-look intentions distinguished</x:v>
      </x:c>
      <x:c r="Y58" s="7" t="b">
        <x:v>0</x:v>
      </x:c>
    </x:row>
    <x:row r="59" ht="52" customHeight="1">
      <x:c r="A59" s="6" t="str">
        <x:v>XHS_P06_C07</x:v>
      </x:c>
      <x:c r="B59" s="6" t="str">
        <x:v>XHS_P06</x:v>
      </x:c>
      <x:c r="C59" s="6" t="str">
        <x:v>Xiaohongshu</x:v>
      </x:c>
      <x:c r="D59" s="6" t="str">
        <x:v>valid</x:v>
      </x:c>
      <x:c r="E59" s="6" t="str">
        <x:v>老大问问假发</x:v>
      </x:c>
      <x:c r="F59" s="6" t="str">
        <x:v>May I ask about the wig?</x:v>
      </x:c>
      <x:c r="G59" s="6" t="str">
        <x:v>问问假发</x:v>
      </x:c>
      <x:c r="H59" s="6" t="str">
        <x:v>Wig inquiry is accessory context, not cosmetics demand.</x:v>
      </x:c>
      <x:c r="I59" s="6" t="n">
        <x:v>0</x:v>
      </x:c>
      <x:c r="J59" s="6" t="n">
        <x:v>0</x:v>
      </x:c>
      <x:c r="K59" s="6" t="n">
        <x:v>0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1</x:v>
      </x:c>
      <x:c r="Q59" s="6" t="str">
        <x:v>top_level</x:v>
      </x:c>
      <x:c r="R59" s="6" t="str">
        <x:v>unknown</x:v>
      </x:c>
      <x:c r="S59" s="6" t="str">
        <x:v>unknown</x:v>
      </x:c>
      <x:c r="T59" s="6" t="str"/>
      <x:c r="U59" s="6" t="str">
        <x:v>RESEARCH_WORKSPACE/Outputs/SaSa_Section_2_2/support/browser_evidence/XHS_P06_dom.txt</x:v>
      </x:c>
      <x:c r="V59" s="6" t="str"/>
      <x:c r="W59" s="6" t="str">
        <x:v>information_request</x:v>
      </x:c>
      <x:c r="X59" s="6" t="str">
        <x:v>No verified purchase; praise, interest, information and saved-look intentions distinguished</x:v>
      </x:c>
      <x:c r="Y59" s="7" t="b">
        <x:v>0</x:v>
      </x:c>
    </x:row>
    <x:row r="60" ht="52" customHeight="1">
      <x:c r="A60" s="6" t="str">
        <x:v>XHS_P06_R07</x:v>
      </x:c>
      <x:c r="B60" s="6" t="str">
        <x:v>XHS_P06</x:v>
      </x:c>
      <x:c r="C60" s="6" t="str">
        <x:v>Xiaohongshu</x:v>
      </x:c>
      <x:c r="D60" s="6" t="str">
        <x:v>context_reply</x:v>
      </x:c>
      <x:c r="E60" s="6" t="str">
        <x:v>心之匙的！</x:v>
      </x:c>
      <x:c r="F60" s="6" t="str">
        <x:v>From 心之匙!</x:v>
      </x:c>
      <x:c r="G60" s="6" t="str">
        <x:v>心之匙的！</x:v>
      </x:c>
      <x:c r="H60" s="6" t="str">
        <x:v>Contextual reply only; not part of the top-level denominator. Explicit 作者 marker; product names and suggestions are not independently verified.</x:v>
      </x:c>
      <x:c r="I60" s="6" t="n">
        <x:v>0</x:v>
      </x:c>
      <x:c r="J60" s="6" t="n">
        <x:v>0</x:v>
      </x:c>
      <x:c r="K60" s="6" t="n">
        <x:v>0</x:v>
      </x:c>
      <x:c r="L60" s="6" t="n">
        <x:v>0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str">
        <x:v>creator_reply</x:v>
      </x:c>
      <x:c r="R60" s="6" t="str">
        <x:v>unknown</x:v>
      </x:c>
      <x:c r="S60" s="6" t="str">
        <x:v>unknown</x:v>
      </x:c>
      <x:c r="T60" s="6" t="str"/>
      <x:c r="U60" s="6" t="str">
        <x:v>RESEARCH_WORKSPACE/Outputs/SaSa_Section_2_2/support/browser_evidence/XHS_P06_dom.txt</x:v>
      </x:c>
      <x:c r="V60" s="6" t="str"/>
      <x:c r="W60" s="6" t="str">
        <x:v>creator_response</x:v>
      </x:c>
      <x:c r="X60" s="6" t="str">
        <x:v>No verified purchase; praise, interest, information and saved-look intentions distinguished</x:v>
      </x:c>
      <x:c r="Y60" s="7" t="b">
        <x:v>0</x:v>
      </x:c>
    </x:row>
    <x:row r="61" ht="52" customHeight="1">
      <x:c r="A61" s="6" t="str">
        <x:v>XHS_P06_C08</x:v>
      </x:c>
      <x:c r="B61" s="6" t="str">
        <x:v>XHS_P06</x:v>
      </x:c>
      <x:c r="C61" s="6" t="str">
        <x:v>Xiaohongshu</x:v>
      </x:c>
      <x:c r="D61" s="6" t="str">
        <x:v>valid</x:v>
      </x:c>
      <x:c r="E61" s="6" t="str">
        <x:v>严肃学习！</x:v>
      </x:c>
      <x:c r="F61" s="6" t="str">
        <x:v>Studying seriously!</x:v>
      </x:c>
      <x:c r="G61" s="6" t="str">
        <x:v>严肃学习</x:v>
      </x:c>
      <x:c r="H61" s="6" t="str">
        <x:v>Explicit engagement with learning the tutorial; no claim that the look was successfully recreated or any product bought.</x:v>
      </x:c>
      <x:c r="I61" s="6" t="n">
        <x:v>0</x:v>
      </x:c>
      <x:c r="J61" s="6" t="n">
        <x:v>1</x:v>
      </x:c>
      <x:c r="K61" s="6" t="n">
        <x:v>0</x:v>
      </x:c>
      <x:c r="L61" s="6" t="n">
        <x:v>0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str">
        <x:v>top_level</x:v>
      </x:c>
      <x:c r="R61" s="6" t="str">
        <x:v>2026</x:v>
      </x:c>
      <x:c r="S61" s="6" t="str">
        <x:v>unknown_exact_date</x:v>
      </x:c>
      <x:c r="T61" s="6" t="str"/>
      <x:c r="U61" s="6" t="str">
        <x:v>RESEARCH_WORKSPACE/Outputs/SaSa_Section_2_2/support/browser_evidence/XHS_P06_dom.txt</x:v>
      </x:c>
      <x:c r="V61" s="6" t="str"/>
      <x:c r="W61" s="6" t="str">
        <x:v>learning_interest</x:v>
      </x:c>
      <x:c r="X61" s="6" t="str">
        <x:v>No verified purchase; praise, interest, information and saved-look intentions distinguished</x:v>
      </x:c>
      <x:c r="Y61" s="7" t="b">
        <x:v>0</x:v>
      </x:c>
    </x:row>
    <x:row r="62" ht="52" customHeight="1">
      <x:c r="A62" s="6" t="str">
        <x:v>XHS_P06_C09</x:v>
      </x:c>
      <x:c r="B62" s="6" t="str">
        <x:v>XHS_P06</x:v>
      </x:c>
      <x:c r="C62" s="6" t="str">
        <x:v>Xiaohongshu</x:v>
      </x:c>
      <x:c r="D62" s="6" t="str">
        <x:v>valid</x:v>
      </x:c>
      <x:c r="E62" s="6" t="str">
        <x:v>老师别删
我存了万圣节化</x:v>
      </x:c>
      <x:c r="F62" s="6" t="str">
        <x:v>Please do not delete this; I saved it to do the makeup for Halloween.</x:v>
      </x:c>
      <x:c r="G62" s="6" t="str">
        <x:v>老师别删
我存了万圣节化</x:v>
      </x:c>
      <x:c r="H62" s="6" t="str">
        <x:v>Two text spans belong to one comment. Saving the tutorial to recreate a look is not saving a product or purchase intent.</x:v>
      </x:c>
      <x:c r="I62" s="6" t="n">
        <x:v>0</x:v>
      </x:c>
      <x:c r="J62" s="6" t="n">
        <x:v>1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str">
        <x:v>top_level</x:v>
      </x:c>
      <x:c r="R62" s="6" t="str">
        <x:v>unknown</x:v>
      </x:c>
      <x:c r="S62" s="6" t="str">
        <x:v>unknown</x:v>
      </x:c>
      <x:c r="T62" s="6" t="str"/>
      <x:c r="U62" s="6" t="str">
        <x:v>RESEARCH_WORKSPACE/Outputs/SaSa_Section_2_2/support/browser_evidence/XHS_P06_dom.txt</x:v>
      </x:c>
      <x:c r="V62" s="6" t="str"/>
      <x:c r="W62" s="6" t="str">
        <x:v>saved_look_intention</x:v>
      </x:c>
      <x:c r="X62" s="6" t="str">
        <x:v>No verified purchase; praise, interest, information and saved-look intentions distinguished</x:v>
      </x:c>
      <x:c r="Y62" s="7" t="b">
        <x:v>0</x:v>
      </x:c>
    </x:row>
    <x:row r="63" ht="52" customHeight="1">
      <x:c r="A63" s="6" t="str">
        <x:v>XHS_P06_R09</x:v>
      </x:c>
      <x:c r="B63" s="6" t="str">
        <x:v>XHS_P06</x:v>
      </x:c>
      <x:c r="C63" s="6" t="str">
        <x:v>Xiaohongshu</x:v>
      </x:c>
      <x:c r="D63" s="6" t="str">
        <x:v>context_reply</x:v>
      </x:c>
      <x:c r="E63" s="6" t="str">
        <x:v>好</x:v>
      </x:c>
      <x:c r="F63" s="6" t="str">
        <x:v>Okay.</x:v>
      </x:c>
      <x:c r="G63" s="6" t="str">
        <x:v>好</x:v>
      </x:c>
      <x:c r="H63" s="6" t="str">
        <x:v>Contextual reply only; not part of the top-level denominator. Explicit 作者 marker; product names and suggestions are not independently verified.</x:v>
      </x:c>
      <x:c r="I63" s="6" t="n">
        <x:v>0</x:v>
      </x:c>
      <x:c r="J63" s="6" t="n">
        <x:v>0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str">
        <x:v>creator_reply</x:v>
      </x:c>
      <x:c r="R63" s="6" t="str">
        <x:v>unknown</x:v>
      </x:c>
      <x:c r="S63" s="6" t="str">
        <x:v>unknown</x:v>
      </x:c>
      <x:c r="T63" s="6" t="str"/>
      <x:c r="U63" s="6" t="str">
        <x:v>RESEARCH_WORKSPACE/Outputs/SaSa_Section_2_2/support/browser_evidence/XHS_P06_dom.txt</x:v>
      </x:c>
      <x:c r="V63" s="6" t="str"/>
      <x:c r="W63" s="6" t="str">
        <x:v>creator_response</x:v>
      </x:c>
      <x:c r="X63" s="6" t="str">
        <x:v>No verified purchase; praise, interest, information and saved-look intentions distinguished</x:v>
      </x:c>
      <x:c r="Y63" s="7" t="b">
        <x:v>0</x:v>
      </x:c>
    </x:row>
    <x:row r="64" ht="52" customHeight="1">
      <x:c r="A64" s="6" t="str">
        <x:v>XHS_P06_C10</x:v>
      </x:c>
      <x:c r="B64" s="6" t="str">
        <x:v>XHS_P06</x:v>
      </x:c>
      <x:c r="C64" s="6" t="str">
        <x:v>Xiaohongshu</x:v>
      </x:c>
      <x:c r="D64" s="6" t="str">
        <x:v>valid</x:v>
      </x:c>
      <x:c r="E64" s="6" t="str">
        <x:v>宝宝好美
问一下上散粉的刷子</x:v>
      </x:c>
      <x:c r="F64" s="6" t="str">
        <x:v>So beautiful; may I ask about the brush used for loose powder?</x:v>
      </x:c>
      <x:c r="G64" s="6" t="str">
        <x:v>问一下上散粉的刷子</x:v>
      </x:c>
      <x:c r="H64" s="6" t="str">
        <x:v>Two visible text spans in one comment. Tool inquiry is kept separate from colour-cosmetics product demand.</x:v>
      </x:c>
      <x:c r="I64" s="6" t="n">
        <x:v>1</x:v>
      </x:c>
      <x:c r="J64" s="6" t="n">
        <x:v>0</x:v>
      </x:c>
      <x:c r="K64" s="6" t="n">
        <x:v>0</x:v>
      </x:c>
      <x:c r="L64" s="6" t="n">
        <x:v>0</x:v>
      </x:c>
      <x:c r="M64" s="6" t="n">
        <x:v>0</x:v>
      </x:c>
      <x:c r="N64" s="6" t="n">
        <x:v>0</x:v>
      </x:c>
      <x:c r="O64" s="6" t="n">
        <x:v>0</x:v>
      </x:c>
      <x:c r="P64" s="6" t="n">
        <x:v>1</x:v>
      </x:c>
      <x:c r="Q64" s="6" t="str">
        <x:v>top_level</x:v>
      </x:c>
      <x:c r="R64" s="6" t="str">
        <x:v>unknown</x:v>
      </x:c>
      <x:c r="S64" s="6" t="str">
        <x:v>unknown</x:v>
      </x:c>
      <x:c r="T64" s="6" t="str"/>
      <x:c r="U64" s="6" t="str">
        <x:v>RESEARCH_WORKSPACE/Outputs/SaSa_Section_2_2/support/browser_evidence/XHS_P06_dom.txt</x:v>
      </x:c>
      <x:c r="V64" s="6" t="str"/>
      <x:c r="W64" s="6" t="str">
        <x:v>effect_praise; information_request</x:v>
      </x:c>
      <x:c r="X64" s="6" t="str">
        <x:v>No verified purchase; praise, interest, information and saved-look intentions distinguished</x:v>
      </x:c>
      <x:c r="Y64" s="7" t="b">
        <x:v>0</x:v>
      </x:c>
    </x:row>
    <x:row r="65" ht="52" customHeight="1">
      <x:c r="A65" s="6" t="str">
        <x:v>XHS_P06_R10</x:v>
      </x:c>
      <x:c r="B65" s="6" t="str">
        <x:v>XHS_P06</x:v>
      </x:c>
      <x:c r="C65" s="6" t="str">
        <x:v>Xiaohongshu</x:v>
      </x:c>
      <x:c r="D65" s="6" t="str">
        <x:v>context_reply</x:v>
      </x:c>
      <x:c r="E65" s="6" t="str">
        <x:v>还想问一下上脸部修容侧面的大刷子</x:v>
      </x:c>
      <x:c r="F65" s="6" t="str">
        <x:v>I would also like to ask about the large brush used for the sides of the face when contouring.</x:v>
      </x:c>
      <x:c r="G65" s="6" t="str">
        <x:v>还想问一下上脸部修容侧面的大刷子</x:v>
      </x:c>
      <x:c r="H65" s="6" t="str">
        <x:v>Contextual reply only; not part of the top-level denominator. Same user adds a tool question; do not count as a second consumer observation.</x:v>
      </x:c>
      <x:c r="I65" s="6" t="n">
        <x:v>0</x:v>
      </x:c>
      <x:c r="J65" s="6" t="n">
        <x:v>0</x:v>
      </x:c>
      <x:c r="K65" s="6" t="n">
        <x:v>0</x:v>
      </x:c>
      <x:c r="L65" s="6" t="n">
        <x:v>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str">
        <x:v>reply</x:v>
      </x:c>
      <x:c r="R65" s="6" t="str">
        <x:v>unknown</x:v>
      </x:c>
      <x:c r="S65" s="6" t="str">
        <x:v>unknown</x:v>
      </x:c>
      <x:c r="T65" s="6" t="str"/>
      <x:c r="U65" s="6" t="str">
        <x:v>RESEARCH_WORKSPACE/Outputs/SaSa_Section_2_2/support/browser_evidence/XHS_P06_dom.txt</x:v>
      </x:c>
      <x:c r="V65" s="6" t="str"/>
      <x:c r="W65" s="6" t="str">
        <x:v>information_request</x:v>
      </x:c>
      <x:c r="X65" s="6" t="str">
        <x:v>No verified purchase; praise, interest, information and saved-look intentions distinguished</x:v>
      </x:c>
      <x:c r="Y65" s="7" t="b">
        <x:v>0</x:v>
      </x:c>
    </x:row>
    <x:row r="66" ht="52" customHeight="1">
      <x:c r="A66" s="6" t="str">
        <x:v>XHS_P06_C11</x:v>
      </x:c>
      <x:c r="B66" s="6" t="str">
        <x:v>XHS_P06</x:v>
      </x:c>
      <x:c r="C66" s="6" t="str">
        <x:v>Xiaohongshu</x:v>
      </x:c>
      <x:c r="D66" s="6" t="str">
        <x:v>excluded</x:v>
      </x:c>
      <x:c r="E66" s="6" t="str">
        <x:v>好眼熟的博主</x:v>
      </x:c>
      <x:c r="F66" s="6" t="str">
        <x:v>This creator looks familiar.</x:v>
      </x:c>
      <x:c r="G66" s="6" t="str">
        <x:v>好眼熟的博主</x:v>
      </x:c>
      <x:c r="H66" s="6" t="str">
        <x:v>Recognition comment gives no makeup, tutorial or purchase insight.</x:v>
      </x:c>
      <x:c r="I66" s="6" t="n">
        <x:v>0</x:v>
      </x:c>
      <x:c r="J66" s="6" t="n">
        <x:v>0</x:v>
      </x:c>
      <x:c r="K66" s="6" t="n">
        <x:v>0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str">
        <x:v>top_level</x:v>
      </x:c>
      <x:c r="R66" s="6" t="str">
        <x:v>unknown</x:v>
      </x:c>
      <x:c r="S66" s="6" t="str">
        <x:v>unknown</x:v>
      </x:c>
      <x:c r="T66" s="6" t="str"/>
      <x:c r="U66" s="6" t="str">
        <x:v>RESEARCH_WORKSPACE/Outputs/SaSa_Section_2_2/support/browser_evidence/XHS_P06_dom.txt</x:v>
      </x:c>
      <x:c r="V66" s="6" t="str"/>
      <x:c r="W66" s="6" t="str">
        <x:v>other</x:v>
      </x:c>
      <x:c r="X66" s="6" t="str">
        <x:v>No verified purchase; praise, interest, information and saved-look intentions distinguished</x:v>
      </x:c>
      <x:c r="Y66" s="7" t="b">
        <x:v>0</x:v>
      </x:c>
    </x:row>
    <x:row r="67" ht="122" customHeight="1">
      <x:c r="A67" s="6" t="str">
        <x:v>XHS_P06_C12</x:v>
      </x:c>
      <x:c r="B67" s="6" t="str">
        <x:v>XHS_P06</x:v>
      </x:c>
      <x:c r="C67" s="6" t="str">
        <x:v>Xiaohongshu</x:v>
      </x:c>
      <x:c r="D67" s="6" t="str">
        <x:v>valid</x:v>
      </x:c>
      <x:c r="E67" s="6" t="str">
        <x:v>老师的讲解不造为啥让我看的很欢乐～种草了染眉膏。想问这款美瞳轻微遮瞳会影响看东西吗？本人之前种草了它很久没买，一是担心看不清（视力不好）二是眼眶小每次戴美瞳要抠半天</x:v>
      </x:c>
      <x:c r="F67" s="6" t="str">
        <x:v>The explanation is fun to watch, and it has made me interested in the brow mascara. Would these slightly pupil-covering contact lenses affect seeing? I have wanted them for a long time but have not bought them, because I worry about not seeing clearly (my eyesight is poor) and because putting in lenses takes me a long time.</x:v>
      </x:c>
      <x:c r="G67" s="6" t="str">
        <x:v>老师的讲解不造为啥让我看的很欢乐～种草了染眉膏。想问这款美瞳轻微遮瞳会影响看东西吗？本人之前种草了它很久没买</x:v>
      </x:c>
      <x:c r="H67" s="6" t="str">
        <x:v>Brow-mascara interest is expressed, not a firm purchase plan or transaction. Non-purchase and vision/insertion concerns refer to contact lenses, not brow mascara. Reports concern only; no clinical facts inferred. Tutorial enjoyment alone does not prove learning effectiveness.</x:v>
      </x:c>
      <x:c r="I67" s="6" t="n">
        <x:v>0</x:v>
      </x:c>
      <x:c r="J67" s="6" t="n">
        <x:v>1</x:v>
      </x:c>
      <x:c r="K67" s="6" t="n">
        <x:v>1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1</x:v>
      </x:c>
      <x:c r="Q67" s="6" t="str">
        <x:v>top_level</x:v>
      </x:c>
      <x:c r="R67" s="6" t="str">
        <x:v>unknown</x:v>
      </x:c>
      <x:c r="S67" s="6" t="str">
        <x:v>unknown</x:v>
      </x:c>
      <x:c r="T67" s="6" t="str"/>
      <x:c r="U67" s="6" t="str">
        <x:v>RESEARCH_WORKSPACE/Outputs/SaSa_Section_2_2/support/browser_evidence/XHS_P06_dom.txt</x:v>
      </x:c>
      <x:c r="V67" s="6" t="str"/>
      <x:c r="W67" s="6" t="str">
        <x:v>expressed_product_interest; information_request; accessory_purchase_barrier</x:v>
      </x:c>
      <x:c r="X67" s="6" t="str">
        <x:v>No verified purchase; praise, interest, information and saved-look intentions distinguished</x:v>
      </x:c>
      <x:c r="Y67" s="7" t="b">
        <x:v>0</x:v>
      </x:c>
    </x:row>
    <x:row r="68" ht="66" customHeight="1">
      <x:c r="A68" s="6" t="str">
        <x:v>XHS_P06_R12</x:v>
      </x:c>
      <x:c r="B68" s="6" t="str">
        <x:v>XHS_P06</x:v>
      </x:c>
      <x:c r="C68" s="6" t="str">
        <x:v>Xiaohongshu</x:v>
      </x:c>
      <x:c r="D68" s="6" t="str">
        <x:v>context_reply</x:v>
      </x:c>
      <x:c r="E68" s="6" t="str">
        <x:v>谢谢你！这个美瞳会影响10%的视力吧 如果不是带着去做一些很需要视力的事情（比如看电影）就还好</x:v>
      </x:c>
      <x:c r="F68" s="6" t="str">
        <x:v>Creator asserts that these lenses might affect vision by 10% and suggests it is okay for less visually demanding activities; this assertion is unverified.</x:v>
      </x:c>
      <x:c r="G68" s="6" t="str">
        <x:v>谢谢你！这个美瞳会影响10%的视力吧 如果不是带着去做一些很需要视力的事情（比如看电影）就还好</x:v>
      </x:c>
      <x:c r="H68" s="6" t="str">
        <x:v>Contextual reply only; not part of the top-level denominator. Creator health/vision assertion is unverified and is not used as medical fact or practical safety guidance.</x:v>
      </x:c>
      <x:c r="I68" s="6" t="n">
        <x:v>0</x:v>
      </x:c>
      <x:c r="J68" s="6" t="n">
        <x:v>0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str">
        <x:v>creator_reply</x:v>
      </x:c>
      <x:c r="R68" s="6" t="str">
        <x:v>unknown</x:v>
      </x:c>
      <x:c r="S68" s="6" t="str">
        <x:v>unknown</x:v>
      </x:c>
      <x:c r="T68" s="6" t="str"/>
      <x:c r="U68" s="6" t="str">
        <x:v>RESEARCH_WORKSPACE/Outputs/SaSa_Section_2_2/support/browser_evidence/XHS_P06_dom.txt</x:v>
      </x:c>
      <x:c r="V68" s="6" t="str"/>
      <x:c r="W68" s="6" t="str">
        <x:v>creator_response</x:v>
      </x:c>
      <x:c r="X68" s="6" t="str">
        <x:v>No verified purchase; praise, interest, information and saved-look intentions distinguished</x:v>
      </x:c>
      <x:c r="Y68" s="7" t="b">
        <x:v>0</x:v>
      </x:c>
    </x:row>
    <x:row r="69" ht="52" customHeight="1">
      <x:c r="A69" s="6" t="str">
        <x:v>XHS_P06_C13</x:v>
      </x:c>
      <x:c r="B69" s="6" t="str">
        <x:v>XHS_P06</x:v>
      </x:c>
      <x:c r="C69" s="6" t="str">
        <x:v>Xiaohongshu</x:v>
      </x:c>
      <x:c r="D69" s="6" t="str">
        <x:v>valid</x:v>
      </x:c>
      <x:c r="E69" s="6" t="str">
        <x:v>问问鼻影刷[棒R]</x:v>
      </x:c>
      <x:c r="F69" s="6" t="str">
        <x:v>May I ask about the nose-contour brush? [棒R]</x:v>
      </x:c>
      <x:c r="G69" s="6" t="str">
        <x:v>鼻影刷</x:v>
      </x:c>
      <x:c r="H69" s="6" t="str">
        <x:v>Makeup tool identification, not colour-cosmetics interest. Platform emoji code preserved verbatim.</x:v>
      </x:c>
      <x:c r="I69" s="6" t="n">
        <x:v>0</x:v>
      </x:c>
      <x:c r="J69" s="6" t="n">
        <x:v>0</x:v>
      </x:c>
      <x:c r="K69" s="6" t="n">
        <x:v>0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1</x:v>
      </x:c>
      <x:c r="Q69" s="6" t="str">
        <x:v>top_level</x:v>
      </x:c>
      <x:c r="R69" s="6" t="str">
        <x:v>unknown</x:v>
      </x:c>
      <x:c r="S69" s="6" t="str">
        <x:v>unknown</x:v>
      </x:c>
      <x:c r="T69" s="6" t="str"/>
      <x:c r="U69" s="6" t="str">
        <x:v>RESEARCH_WORKSPACE/Outputs/SaSa_Section_2_2/support/browser_evidence/XHS_P06_dom.txt</x:v>
      </x:c>
      <x:c r="V69" s="6" t="str"/>
      <x:c r="W69" s="6" t="str">
        <x:v>information_request</x:v>
      </x:c>
      <x:c r="X69" s="6" t="str">
        <x:v>No verified purchase; praise, interest, information and saved-look intentions distinguished</x:v>
      </x:c>
      <x:c r="Y69" s="7" t="b">
        <x:v>0</x:v>
      </x:c>
    </x:row>
    <x:row r="70" ht="52" customHeight="1">
      <x:c r="A70" s="6" t="str">
        <x:v>XHS_P06_R13</x:v>
      </x:c>
      <x:c r="B70" s="6" t="str">
        <x:v>XHS_P06</x:v>
      </x:c>
      <x:c r="C70" s="6" t="str">
        <x:v>Xiaohongshu</x:v>
      </x:c>
      <x:c r="D70" s="6" t="str">
        <x:v>context_reply</x:v>
      </x:c>
      <x:c r="E70" s="6" t="str"/>
      <x:c r="F70" s="6" t="str"/>
      <x:c r="G70" s="6" t="str"/>
      <x:c r="H70" s="6" t="str">
        <x:v>Contextual reply only; not part of the top-level denominator. No readable reply text in the saved DOM; original_text intentionally empty. No image meaning invented.</x:v>
      </x:c>
      <x:c r="I70" s="6" t="n">
        <x:v>0</x:v>
      </x:c>
      <x:c r="J70" s="6" t="n">
        <x:v>0</x:v>
      </x:c>
      <x:c r="K70" s="6" t="n">
        <x:v>0</x:v>
      </x:c>
      <x:c r="L70" s="6" t="n">
        <x:v>0</x:v>
      </x:c>
      <x:c r="M70" s="6" t="n">
        <x:v>0</x:v>
      </x:c>
      <x:c r="N70" s="6" t="n">
        <x:v>0</x:v>
      </x:c>
      <x:c r="O70" s="6" t="n">
        <x:v>0</x:v>
      </x:c>
      <x:c r="P70" s="6" t="n">
        <x:v>0</x:v>
      </x:c>
      <x:c r="Q70" s="6" t="str">
        <x:v>creator_reply</x:v>
      </x:c>
      <x:c r="R70" s="6" t="str">
        <x:v>unknown</x:v>
      </x:c>
      <x:c r="S70" s="6" t="str">
        <x:v>unknown</x:v>
      </x:c>
      <x:c r="T70" s="6" t="str"/>
      <x:c r="U70" s="6" t="str">
        <x:v>RESEARCH_WORKSPACE/Outputs/SaSa_Section_2_2/support/browser_evidence/XHS_P06_dom.txt</x:v>
      </x:c>
      <x:c r="V70" s="6" t="str"/>
      <x:c r="W70" s="6" t="str">
        <x:v>creator_response</x:v>
      </x:c>
      <x:c r="X70" s="6" t="str">
        <x:v>No verified purchase; praise, interest, information and saved-look intentions distinguished</x:v>
      </x:c>
      <x:c r="Y70" s="7" t="b">
        <x:v>0</x:v>
      </x:c>
    </x:row>
    <x:row r="71" ht="52" customHeight="1">
      <x:c r="A71" s="6" t="str">
        <x:v>XHS_P06_C14</x:v>
      </x:c>
      <x:c r="B71" s="6" t="str">
        <x:v>XHS_P06</x:v>
      </x:c>
      <x:c r="C71" s="6" t="str">
        <x:v>Xiaohongshu</x:v>
      </x:c>
      <x:c r="D71" s="6" t="str">
        <x:v>valid</x:v>
      </x:c>
      <x:c r="E71" s="6" t="str">
        <x:v>老大问问染眉膏色号</x:v>
      </x:c>
      <x:c r="F71" s="6" t="str">
        <x:v>May I ask the shade number of the brow mascara?</x:v>
      </x:c>
      <x:c r="G71" s="6" t="str">
        <x:v>染眉膏色号</x:v>
      </x:c>
      <x:c r="H71" s="6" t="str">
        <x:v>Specific colour-cosmetic shade request; no purchase statement.</x:v>
      </x:c>
      <x:c r="I71" s="6" t="n">
        <x:v>0</x:v>
      </x:c>
      <x:c r="J71" s="6" t="n">
        <x:v>0</x:v>
      </x:c>
      <x:c r="K71" s="6" t="n">
        <x:v>1</x:v>
      </x:c>
      <x:c r="L71" s="6" t="n">
        <x:v>0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str">
        <x:v>top_level</x:v>
      </x:c>
      <x:c r="R71" s="6" t="str">
        <x:v>unknown</x:v>
      </x:c>
      <x:c r="S71" s="6" t="str">
        <x:v>unknown</x:v>
      </x:c>
      <x:c r="T71" s="6" t="str"/>
      <x:c r="U71" s="6" t="str">
        <x:v>RESEARCH_WORKSPACE/Outputs/SaSa_Section_2_2/support/browser_evidence/XHS_P06_dom.txt</x:v>
      </x:c>
      <x:c r="V71" s="6" t="str"/>
      <x:c r="W71" s="6" t="str">
        <x:v>information_request</x:v>
      </x:c>
      <x:c r="X71" s="6" t="str">
        <x:v>No verified purchase; praise, interest, information and saved-look intentions distinguished</x:v>
      </x:c>
      <x:c r="Y71" s="7" t="b">
        <x:v>0</x:v>
      </x:c>
    </x:row>
    <x:row r="72" ht="52" customHeight="1">
      <x:c r="A72" s="6" t="str">
        <x:v>XHS_P06_R14</x:v>
      </x:c>
      <x:c r="B72" s="6" t="str">
        <x:v>XHS_P06</x:v>
      </x:c>
      <x:c r="C72" s="6" t="str">
        <x:v>Xiaohongshu</x:v>
      </x:c>
      <x:c r="D72" s="6" t="str">
        <x:v>context_reply</x:v>
      </x:c>
      <x:c r="E72" s="6" t="str">
        <x:v>是浅珠贝！11号</x:v>
      </x:c>
      <x:c r="F72" s="6" t="str">
        <x:v>It is 浅珠贝, number 11!</x:v>
      </x:c>
      <x:c r="G72" s="6" t="str">
        <x:v>是浅珠贝！11号</x:v>
      </x:c>
      <x:c r="H72" s="6" t="str">
        <x:v>Contextual reply only; not part of the top-level denominator. Explicit 作者 marker; product names and suggestions are not independently verified.</x:v>
      </x:c>
      <x:c r="I72" s="6" t="n">
        <x:v>0</x:v>
      </x:c>
      <x:c r="J72" s="6" t="n">
        <x:v>0</x:v>
      </x:c>
      <x:c r="K72" s="6" t="n">
        <x:v>0</x:v>
      </x:c>
      <x:c r="L72" s="6" t="n">
        <x:v>0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str">
        <x:v>creator_reply</x:v>
      </x:c>
      <x:c r="R72" s="6" t="str">
        <x:v>unknown</x:v>
      </x:c>
      <x:c r="S72" s="6" t="str">
        <x:v>unknown</x:v>
      </x:c>
      <x:c r="T72" s="6" t="str"/>
      <x:c r="U72" s="6" t="str">
        <x:v>RESEARCH_WORKSPACE/Outputs/SaSa_Section_2_2/support/browser_evidence/XHS_P06_dom.txt</x:v>
      </x:c>
      <x:c r="V72" s="6" t="str"/>
      <x:c r="W72" s="6" t="str">
        <x:v>creator_response</x:v>
      </x:c>
      <x:c r="X72" s="6" t="str">
        <x:v>No verified purchase; praise, interest, information and saved-look intentions distinguished</x:v>
      </x:c>
      <x:c r="Y72" s="7" t="b">
        <x:v>0</x:v>
      </x:c>
    </x:row>
    <x:row r="73" ht="52" customHeight="1">
      <x:c r="A73" s="6" t="str">
        <x:v>XHS_P06_C15</x:v>
      </x:c>
      <x:c r="B73" s="6" t="str">
        <x:v>XHS_P06</x:v>
      </x:c>
      <x:c r="C73" s="6" t="str">
        <x:v>Xiaohongshu</x:v>
      </x:c>
      <x:c r="D73" s="6" t="str">
        <x:v>valid</x:v>
      </x:c>
      <x:c r="E73" s="6" t="str">
        <x:v>怎么感觉这美瞳没化妆的时候一直在翻我白眼</x:v>
      </x:c>
      <x:c r="F73" s="6" t="str">
        <x:v>Why does it feel as if these contact lenses are rolling their eyes at me before the makeup is on?</x:v>
      </x:c>
      <x:c r="G73" s="6" t="str">
        <x:v>美瞳没化妆的时候一直在翻我白眼</x:v>
      </x:c>
      <x:c r="H73" s="6" t="str">
        <x:v>Humorous, uneasy appearance reaction to lenses before makeup. Not coded as a health claim or an explicit purchasing objection.</x:v>
      </x:c>
      <x:c r="I73" s="6" t="n">
        <x:v>1</x:v>
      </x:c>
      <x:c r="J73" s="6" t="n">
        <x:v>0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0</x:v>
      </x:c>
      <x:c r="P73" s="6" t="n">
        <x:v>1</x:v>
      </x:c>
      <x:c r="Q73" s="6" t="str">
        <x:v>top_level</x:v>
      </x:c>
      <x:c r="R73" s="6" t="str">
        <x:v>unknown</x:v>
      </x:c>
      <x:c r="S73" s="6" t="str">
        <x:v>unknown</x:v>
      </x:c>
      <x:c r="T73" s="6" t="str"/>
      <x:c r="U73" s="6" t="str">
        <x:v>RESEARCH_WORKSPACE/Outputs/SaSa_Section_2_2/support/browser_evidence/XHS_P06_dom.txt</x:v>
      </x:c>
      <x:c r="V73" s="6" t="str"/>
      <x:c r="W73" s="6" t="str">
        <x:v>visual_critique</x:v>
      </x:c>
      <x:c r="X73" s="6" t="str">
        <x:v>No verified purchase; praise, interest, information and saved-look intentions distinguished</x:v>
      </x:c>
      <x:c r="Y73" s="7" t="b">
        <x:v>0</x:v>
      </x:c>
    </x:row>
    <x:row r="74" ht="94" customHeight="1">
      <x:c r="A74" s="6" t="str">
        <x:v>IG_P01_C01</x:v>
      </x:c>
      <x:c r="B74" s="6" t="str">
        <x:v>IG_P01</x:v>
      </x:c>
      <x:c r="C74" s="6" t="str">
        <x:v>Instagram</x:v>
      </x:c>
      <x:c r="D74" s="6" t="str">
        <x:v>valid</x:v>
      </x:c>
      <x:c r="E74" s="6" t="str">
        <x:v>Yes black widow 🕷️ 🕷️🕷️🕷️</x:v>
      </x:c>
      <x:c r="F74" s="6" t="str">
        <x:v>Yes, black widow [spider emojis].</x:v>
      </x:c>
      <x:c r="G74" s="6" t="str">
        <x:v>Yes black widow 🕷️ 🕷️🕷️🕷️</x:v>
      </x:c>
      <x:c r="H74" s="6" t="str">
        <x:v>Explicit black-widow/spider association with the spider-inspired tutorial. Does not prove Marvel character intent, roleplay plans, product inquiry or purchase. | Date/ID crosswalk: RESEARCH_WORKSPACE/ResearchTools/SaSa_Comment_Collection/data/instagram_pilot_review/reconciliation.json</x:v>
      </x:c>
      <x:c r="I74" s="6" t="n">
        <x:v>1</x:v>
      </x:c>
      <x:c r="J74" s="6" t="n">
        <x:v>0</x:v>
      </x:c>
      <x:c r="K74" s="6" t="n">
        <x:v>0</x:v>
      </x:c>
      <x:c r="L74" s="6" t="n">
        <x:v>0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str">
        <x:v>top_level</x:v>
      </x:c>
      <x:c r="R74" s="6" t="str">
        <x:v>2024</x:v>
      </x:c>
      <x:c r="S74" s="6" t="str">
        <x:v>other_month</x:v>
      </x:c>
      <x:c r="T74" s="6" t="d">
        <x:v>2024-11-01T09:47:17.000Z</x:v>
      </x:c>
      <x:c r="U74" s="6" t="str">
        <x:v>RESEARCH_WORKSPACE/Outputs/SaSa_Section_2_2/support/browser_evidence/IG_P01_comments.txt</x:v>
      </x:c>
      <x:c r="V74" s="6" t="str"/>
      <x:c r="W74" s="6" t="str">
        <x:v>character_association</x:v>
      </x:c>
      <x:c r="X74" s="6" t="str">
        <x:v>No purchase intention or verified purchase expressed; admiration is not purchase evidence</x:v>
      </x:c>
      <x:c r="Y74" s="7" t="b">
        <x:v>0</x:v>
      </x:c>
    </x:row>
    <x:row r="75" ht="122" customHeight="1">
      <x:c r="A75" s="6" t="str">
        <x:v>IG_P01_C02</x:v>
      </x:c>
      <x:c r="B75" s="6" t="str">
        <x:v>IG_P01</x:v>
      </x:c>
      <x:c r="C75" s="6" t="str">
        <x:v>Instagram</x:v>
      </x:c>
      <x:c r="D75" s="6" t="str">
        <x:v>valid</x:v>
      </x:c>
      <x:c r="E75" s="6" t="str">
        <x:v>Incredible, @[anonymised] 🔥</x:v>
      </x:c>
      <x:c r="F75" s="6" t="str">
        <x:v>Incredible, @iamkareno [fire emoji].</x:v>
      </x:c>
      <x:c r="G75" s="6" t="str">
        <x:v>Incredible, @iamkareno 🔥</x:v>
      </x:c>
      <x:c r="H75" s="6" t="str">
        <x:v>Generic aesthetic appraisal in a makeup-tutorial context, coded consistently with Xiaohongshu tutorial praise. Broad visual/creative appreciation only: cannot separate admiration of creator skill, styling or makeup, and cannot infer a specific product effect, motive or purchase. | Date/ID crosswalk: RESEARCH_WORKSPACE/ResearchTools/SaSa_Comment_Collection/data/instagram_pilot_review/reconciliation.json</x:v>
      </x:c>
      <x:c r="I75" s="6" t="n">
        <x:v>1</x:v>
      </x:c>
      <x:c r="J75" s="6" t="n">
        <x:v>0</x:v>
      </x:c>
      <x:c r="K75" s="6" t="n">
        <x:v>0</x:v>
      </x:c>
      <x:c r="L75" s="6" t="n">
        <x:v>0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str">
        <x:v>top_level</x:v>
      </x:c>
      <x:c r="R75" s="6" t="str">
        <x:v>2024</x:v>
      </x:c>
      <x:c r="S75" s="6" t="str">
        <x:v>Sep_Oct</x:v>
      </x:c>
      <x:c r="T75" s="6" t="d">
        <x:v>2024-10-30T01:08:21.000Z</x:v>
      </x:c>
      <x:c r="U75" s="6" t="str">
        <x:v>RESEARCH_WORKSPACE/Outputs/SaSa_Section_2_2/support/browser_evidence/IG_P01_comments.txt</x:v>
      </x:c>
      <x:c r="V75" s="6" t="str"/>
      <x:c r="W75" s="6" t="str">
        <x:v>effect_praise</x:v>
      </x:c>
      <x:c r="X75" s="6" t="str">
        <x:v>No purchase intention or verified purchase expressed; admiration is not purchase evidence</x:v>
      </x:c>
      <x:c r="Y75" s="7" t="b">
        <x:v>0</x:v>
      </x:c>
    </x:row>
    <x:row r="76" ht="80" customHeight="1">
      <x:c r="A76" s="6" t="str">
        <x:v>IG_P01_C03</x:v>
      </x:c>
      <x:c r="B76" s="6" t="str">
        <x:v>IG_P01</x:v>
      </x:c>
      <x:c r="C76" s="6" t="str">
        <x:v>Instagram</x:v>
      </x:c>
      <x:c r="D76" s="6" t="str">
        <x:v>unclear</x:v>
      </x:c>
      <x:c r="E76" s="6" t="str">
        <x:v>Yess @[anonymised] 🖤</x:v>
      </x:c>
      <x:c r="F76" s="6" t="str">
        <x:v>Yes, @iamkareno [black-heart emoji].</x:v>
      </x:c>
      <x:c r="G76" s="6" t="str">
        <x:v>Yess @iamkareno 🖤</x:v>
      </x:c>
      <x:c r="H76" s="6" t="str">
        <x:v>Generic support tagging featured creator; does not explicitly evaluate makeup, express a tutorial need or indicate buying. | Date/ID crosswalk: RESEARCH_WORKSPACE/ResearchTools/SaSa_Comment_Collection/data/instagram_pilot_review/reconciliation.json</x:v>
      </x:c>
      <x:c r="I76" s="6" t="n">
        <x:v>0</x:v>
      </x:c>
      <x:c r="J76" s="6" t="n">
        <x:v>0</x:v>
      </x:c>
      <x:c r="K76" s="6" t="n">
        <x:v>0</x:v>
      </x:c>
      <x:c r="L76" s="6" t="n">
        <x:v>0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  <x:c r="Q76" s="6" t="str">
        <x:v>top_level</x:v>
      </x:c>
      <x:c r="R76" s="6" t="str">
        <x:v>2024</x:v>
      </x:c>
      <x:c r="S76" s="6" t="str">
        <x:v>Sep_Oct</x:v>
      </x:c>
      <x:c r="T76" s="6" t="d">
        <x:v>2024-10-29T09:30:49.000Z</x:v>
      </x:c>
      <x:c r="U76" s="6" t="str">
        <x:v>RESEARCH_WORKSPACE/Outputs/SaSa_Section_2_2/support/browser_evidence/IG_P01_comments.txt</x:v>
      </x:c>
      <x:c r="V76" s="6" t="str"/>
      <x:c r="W76" s="6" t="str">
        <x:v>uncertain</x:v>
      </x:c>
      <x:c r="X76" s="6" t="str">
        <x:v>No purchase intention or verified purchase expressed; admiration is not purchase evidence</x:v>
      </x:c>
      <x:c r="Y76" s="7" t="b">
        <x:v>0</x:v>
      </x:c>
    </x:row>
    <x:row r="77" ht="80" customHeight="1">
      <x:c r="A77" s="6" t="str">
        <x:v>IG_P01_C04</x:v>
      </x:c>
      <x:c r="B77" s="6" t="str">
        <x:v>IG_P01</x:v>
      </x:c>
      <x:c r="C77" s="6" t="str">
        <x:v>Instagram</x:v>
      </x:c>
      <x:c r="D77" s="6" t="str">
        <x:v>excluded</x:v>
      </x:c>
      <x:c r="E77" s="6" t="str">
        <x:v>🕷️🕷️🕷️🕷️</x:v>
      </x:c>
      <x:c r="F77" s="6" t="str">
        <x:v>[Four spider emojis.]</x:v>
      </x:c>
      <x:c r="G77" s="6" t="str">
        <x:v>🕷️🕷️🕷️🕷️</x:v>
      </x:c>
      <x:c r="H77" s="6" t="str">
        <x:v>Spiders match the post visually, but emojis alone do not establish motivation, effect appraisal or purchase. Excluded under codebook emoji rule. | Date/ID crosswalk: RESEARCH_WORKSPACE/ResearchTools/SaSa_Comment_Collection/data/instagram_pilot_review/reconciliation.json</x:v>
      </x:c>
      <x:c r="I77" s="6" t="n">
        <x:v>0</x:v>
      </x:c>
      <x:c r="J77" s="6" t="n">
        <x:v>0</x:v>
      </x:c>
      <x:c r="K77" s="6" t="n">
        <x:v>0</x:v>
      </x:c>
      <x:c r="L77" s="6" t="n">
        <x:v>0</x:v>
      </x:c>
      <x:c r="M77" s="6" t="n">
        <x:v>0</x:v>
      </x:c>
      <x:c r="N77" s="6" t="n">
        <x:v>0</x:v>
      </x:c>
      <x:c r="O77" s="6" t="n">
        <x:v>0</x:v>
      </x:c>
      <x:c r="P77" s="6" t="n">
        <x:v>0</x:v>
      </x:c>
      <x:c r="Q77" s="6" t="str">
        <x:v>top_level</x:v>
      </x:c>
      <x:c r="R77" s="6" t="str">
        <x:v>2024</x:v>
      </x:c>
      <x:c r="S77" s="6" t="str">
        <x:v>Sep_Oct</x:v>
      </x:c>
      <x:c r="T77" s="6" t="d">
        <x:v>2024-10-29T07:34:24.000Z</x:v>
      </x:c>
      <x:c r="U77" s="6" t="str">
        <x:v>RESEARCH_WORKSPACE/Outputs/SaSa_Section_2_2/support/browser_evidence/IG_P01_comments.txt</x:v>
      </x:c>
      <x:c r="V77" s="6" t="str"/>
      <x:c r="W77" s="6" t="str">
        <x:v>emoji_only</x:v>
      </x:c>
      <x:c r="X77" s="6" t="str">
        <x:v>No purchase intention or verified purchase expressed; admiration is not purchase evidence</x:v>
      </x:c>
      <x:c r="Y77" s="7" t="b">
        <x:v>0</x:v>
      </x:c>
    </x:row>
    <x:row r="78" ht="108" customHeight="1">
      <x:c r="A78" s="6" t="str">
        <x:v>IG_P01_C05</x:v>
      </x:c>
      <x:c r="B78" s="6" t="str">
        <x:v>IG_P01</x:v>
      </x:c>
      <x:c r="C78" s="6" t="str">
        <x:v>Instagram</x:v>
      </x:c>
      <x:c r="D78" s="6" t="str">
        <x:v>valid</x:v>
      </x:c>
      <x:c r="E78" s="6" t="str">
        <x:v>😍😍😍 gorgeous!!</x:v>
      </x:c>
      <x:c r="F78" s="6" t="str">
        <x:v>[Three heart-eyes emojis] gorgeous!!</x:v>
      </x:c>
      <x:c r="G78" s="6" t="str">
        <x:v>😍😍😍 gorgeous!!</x:v>
      </x:c>
      <x:c r="H78" s="6" t="str">
        <x:v>Generic aesthetic appraisal under a makeup tutorial, coded consistently with Xiaohongshu tutorial praise. Specific contribution of face, styling or cosmetics remains unknown; no particular effect need or purchase motive inferred. | Date/ID crosswalk: RESEARCH_WORKSPACE/ResearchTools/SaSa_Comment_Collection/data/instagram_pilot_review/reconciliation.json</x:v>
      </x:c>
      <x:c r="I78" s="6" t="n">
        <x:v>1</x:v>
      </x:c>
      <x:c r="J78" s="6" t="n">
        <x:v>0</x:v>
      </x:c>
      <x:c r="K78" s="6" t="n">
        <x:v>0</x:v>
      </x:c>
      <x:c r="L78" s="6" t="n">
        <x:v>0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str">
        <x:v>top_level</x:v>
      </x:c>
      <x:c r="R78" s="6" t="str">
        <x:v>2024</x:v>
      </x:c>
      <x:c r="S78" s="6" t="str">
        <x:v>Sep_Oct</x:v>
      </x:c>
      <x:c r="T78" s="6" t="d">
        <x:v>2024-10-29T07:20:55.000Z</x:v>
      </x:c>
      <x:c r="U78" s="6" t="str">
        <x:v>RESEARCH_WORKSPACE/Outputs/SaSa_Section_2_2/support/browser_evidence/IG_P01_comments.txt</x:v>
      </x:c>
      <x:c r="V78" s="6" t="str"/>
      <x:c r="W78" s="6" t="str">
        <x:v>effect_praise</x:v>
      </x:c>
      <x:c r="X78" s="6" t="str">
        <x:v>No purchase intention or verified purchase expressed; admiration is not purchase evidence</x:v>
      </x:c>
      <x:c r="Y78" s="7" t="b">
        <x:v>0</x:v>
      </x:c>
    </x:row>
    <x:row r="79" ht="66" customHeight="1">
      <x:c r="A79" s="6" t="str">
        <x:v>IG_P01_C06</x:v>
      </x:c>
      <x:c r="B79" s="6" t="str">
        <x:v>IG_P01</x:v>
      </x:c>
      <x:c r="C79" s="6" t="str">
        <x:v>Instagram</x:v>
      </x:c>
      <x:c r="D79" s="6" t="str">
        <x:v>excluded</x:v>
      </x:c>
      <x:c r="E79" s="6" t="str">
        <x:v>🖤🕸️🖤</x:v>
      </x:c>
      <x:c r="F79" s="6" t="str">
        <x:v>[Black heart, spider web, black heart.]</x:v>
      </x:c>
      <x:c r="G79" s="6" t="str">
        <x:v>🖤🕸️🖤</x:v>
      </x:c>
      <x:c r="H79" s="6" t="str">
        <x:v>No substantive statement; not evidence of buying or new-product need. | Date/ID crosswalk: RESEARCH_WORKSPACE/ResearchTools/SaSa_Comment_Collection/data/instagram_pilot_review/reconciliation.json</x:v>
      </x:c>
      <x:c r="I79" s="6" t="n">
        <x:v>0</x:v>
      </x:c>
      <x:c r="J79" s="6" t="n">
        <x:v>0</x:v>
      </x:c>
      <x:c r="K79" s="6" t="n">
        <x:v>0</x:v>
      </x:c>
      <x:c r="L79" s="6" t="n">
        <x:v>0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str">
        <x:v>top_level</x:v>
      </x:c>
      <x:c r="R79" s="6" t="str">
        <x:v>2024</x:v>
      </x:c>
      <x:c r="S79" s="6" t="str">
        <x:v>Sep_Oct</x:v>
      </x:c>
      <x:c r="T79" s="6" t="d">
        <x:v>2024-10-29T07:12:35.000Z</x:v>
      </x:c>
      <x:c r="U79" s="6" t="str">
        <x:v>RESEARCH_WORKSPACE/Outputs/SaSa_Section_2_2/support/browser_evidence/IG_P01_comments.txt</x:v>
      </x:c>
      <x:c r="V79" s="6" t="str"/>
      <x:c r="W79" s="6" t="str">
        <x:v>emoji_only</x:v>
      </x:c>
      <x:c r="X79" s="6" t="str">
        <x:v>No purchase intention or verified purchase expressed; admiration is not purchase evidence</x:v>
      </x:c>
      <x:c r="Y79" s="7" t="b">
        <x:v>0</x:v>
      </x:c>
    </x:row>
    <x:row r="80" ht="94" customHeight="1">
      <x:c r="A80" s="6" t="str">
        <x:v>IG_P01_C07</x:v>
      </x:c>
      <x:c r="B80" s="6" t="str">
        <x:v>IG_P01</x:v>
      </x:c>
      <x:c r="C80" s="6" t="str">
        <x:v>Instagram</x:v>
      </x:c>
      <x:c r="D80" s="6" t="str">
        <x:v>excluded</x:v>
      </x:c>
      <x:c r="E80" s="6" t="str">
        <x:v>😍❤️</x:v>
      </x:c>
      <x:c r="F80" s="6" t="str">
        <x:v>[Heart-eyes and red-heart emojis.]</x:v>
      </x:c>
      <x:c r="G80" s="6" t="str">
        <x:v>😍❤️</x:v>
      </x:c>
      <x:c r="H80" s="6" t="str">
        <x:v>Saved evidence identifies this commenter as the featured tutorial creator. Retained as a top-level raw record, not consumer motivation or independent endorsement. | Date/ID crosswalk: RESEARCH_WORKSPACE/ResearchTools/SaSa_Comment_Collection/data/instagram_pilot_review/reconciliation.json</x:v>
      </x:c>
      <x:c r="I80" s="6" t="n">
        <x:v>0</x:v>
      </x:c>
      <x:c r="J80" s="6" t="n">
        <x:v>0</x:v>
      </x:c>
      <x:c r="K80" s="6" t="n">
        <x:v>0</x:v>
      </x:c>
      <x:c r="L80" s="6" t="n">
        <x:v>0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  <x:c r="Q80" s="6" t="str">
        <x:v>top_level</x:v>
      </x:c>
      <x:c r="R80" s="6" t="str">
        <x:v>2024</x:v>
      </x:c>
      <x:c r="S80" s="6" t="str">
        <x:v>Sep_Oct</x:v>
      </x:c>
      <x:c r="T80" s="6" t="d">
        <x:v>2024-10-29T07:10:41.000Z</x:v>
      </x:c>
      <x:c r="U80" s="6" t="str">
        <x:v>RESEARCH_WORKSPACE/Outputs/SaSa_Section_2_2/support/browser_evidence/IG_P01_comments.txt</x:v>
      </x:c>
      <x:c r="V80" s="6" t="str"/>
      <x:c r="W80" s="6" t="str">
        <x:v>creator_associated_reaction</x:v>
      </x:c>
      <x:c r="X80" s="6" t="str">
        <x:v>No purchase intention or verified purchase expressed; admiration is not purchase evidence</x:v>
      </x:c>
      <x:c r="Y80" s="7" t="b">
        <x:v>0</x:v>
      </x:c>
    </x:row>
    <x:row r="81" ht="80" customHeight="1">
      <x:c r="A81" s="6" t="str">
        <x:v>IG_P02_C01</x:v>
      </x:c>
      <x:c r="B81" s="6" t="str">
        <x:v>IG_P02</x:v>
      </x:c>
      <x:c r="C81" s="6" t="str">
        <x:v>Instagram</x:v>
      </x:c>
      <x:c r="D81" s="6" t="str">
        <x:v>unclear</x:v>
      </x:c>
      <x:c r="E81" s="6" t="str">
        <x:v>Gorg 🥹✨🫶🏼</x:v>
      </x:c>
      <x:c r="F81" s="6" t="str">
        <x:v>Gorgeous [emojis].</x:v>
      </x:c>
      <x:c r="G81" s="6" t="str">
        <x:v>Gorg 🥹✨🫶🏼</x:v>
      </x:c>
      <x:c r="H81" s="6" t="str">
        <x:v>Generic appearance praise under a celebrity product launch; does not identify product, shade, festive effect or purchase. Outside seasonal comment window. Displayed 9–38w at collection falls outside the selected seasonal windows; exact date remains unknown.</x:v>
      </x:c>
      <x:c r="I81" s="6" t="n">
        <x:v>0</x:v>
      </x:c>
      <x:c r="J81" s="6" t="n">
        <x:v>0</x:v>
      </x:c>
      <x:c r="K81" s="6" t="n">
        <x:v>0</x:v>
      </x:c>
      <x:c r="L81" s="6" t="n">
        <x:v>0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str">
        <x:v>top_level</x:v>
      </x:c>
      <x:c r="R81" s="6" t="str">
        <x:v>unknown</x:v>
      </x:c>
      <x:c r="S81" s="6" t="str">
        <x:v>unknown</x:v>
      </x:c>
      <x:c r="T81" s="6" t="str"/>
      <x:c r="U81" s="6" t="str">
        <x:v>RESEARCH_WORKSPACE/Outputs/SaSa_Section_2_2/support/browser_evidence/IG_P02_initial.txt</x:v>
      </x:c>
      <x:c r="V81" s="6" t="str"/>
      <x:c r="W81" s="6" t="str">
        <x:v>uncertain</x:v>
      </x:c>
      <x:c r="X81" s="6" t="str">
        <x:v>No purchase intention or verified purchase expressed; admiration is not purchase evidence</x:v>
      </x:c>
      <x:c r="Y81" s="7" t="b">
        <x:v>0</x:v>
      </x:c>
    </x:row>
    <x:row r="82" ht="52" customHeight="1">
      <x:c r="A82" s="6" t="str">
        <x:v>IG_P02_C02</x:v>
      </x:c>
      <x:c r="B82" s="6" t="str">
        <x:v>IG_P02</x:v>
      </x:c>
      <x:c r="C82" s="6" t="str">
        <x:v>Instagram</x:v>
      </x:c>
      <x:c r="D82" s="6" t="str">
        <x:v>excluded</x:v>
      </x:c>
      <x:c r="E82" s="6" t="str">
        <x:v>😍😍😍</x:v>
      </x:c>
      <x:c r="F82" s="6" t="str">
        <x:v>[Three heart-eyes emojis.]</x:v>
      </x:c>
      <x:c r="G82" s="6" t="str">
        <x:v>😍😍😍</x:v>
      </x:c>
      <x:c r="H82" s="6" t="str">
        <x:v>No substantive consumer statement. Outside seasonal comment window. Displayed 9–38w at collection falls outside the selected seasonal windows; exact date remains unknown.</x:v>
      </x:c>
      <x:c r="I82" s="6" t="n">
        <x:v>0</x:v>
      </x:c>
      <x:c r="J82" s="6" t="n">
        <x:v>0</x:v>
      </x:c>
      <x:c r="K82" s="6" t="n">
        <x:v>0</x:v>
      </x:c>
      <x:c r="L82" s="6" t="n">
        <x:v>0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str">
        <x:v>top_level</x:v>
      </x:c>
      <x:c r="R82" s="6" t="str">
        <x:v>unknown</x:v>
      </x:c>
      <x:c r="S82" s="6" t="str">
        <x:v>unknown</x:v>
      </x:c>
      <x:c r="T82" s="6" t="str"/>
      <x:c r="U82" s="6" t="str">
        <x:v>RESEARCH_WORKSPACE/Outputs/SaSa_Section_2_2/support/browser_evidence/IG_P02_initial.txt</x:v>
      </x:c>
      <x:c r="V82" s="6" t="str"/>
      <x:c r="W82" s="6" t="str">
        <x:v>emoji_only</x:v>
      </x:c>
      <x:c r="X82" s="6" t="str">
        <x:v>No purchase intention or verified purchase expressed; admiration is not purchase evidence</x:v>
      </x:c>
      <x:c r="Y82" s="7" t="b">
        <x:v>0</x:v>
      </x:c>
    </x:row>
    <x:row r="83" ht="52" customHeight="1">
      <x:c r="A83" s="6" t="str">
        <x:v>IG_P02_C03</x:v>
      </x:c>
      <x:c r="B83" s="6" t="str">
        <x:v>IG_P02</x:v>
      </x:c>
      <x:c r="C83" s="6" t="str">
        <x:v>Instagram</x:v>
      </x:c>
      <x:c r="D83" s="6" t="str">
        <x:v>excluded</x:v>
      </x:c>
      <x:c r="E83" s="6" t="str">
        <x:v>❤️</x:v>
      </x:c>
      <x:c r="F83" s="6" t="str">
        <x:v>[Red-heart emoji.]</x:v>
      </x:c>
      <x:c r="G83" s="6" t="str">
        <x:v>❤️</x:v>
      </x:c>
      <x:c r="H83" s="6" t="str">
        <x:v>No substantive consumer statement. Outside seasonal comment window. Displayed 9–38w at collection falls outside the selected seasonal windows; exact date remains unknown.</x:v>
      </x:c>
      <x:c r="I83" s="6" t="n">
        <x:v>0</x:v>
      </x:c>
      <x:c r="J83" s="6" t="n">
        <x:v>0</x:v>
      </x:c>
      <x:c r="K83" s="6" t="n">
        <x:v>0</x:v>
      </x:c>
      <x:c r="L83" s="6" t="n">
        <x:v>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str">
        <x:v>top_level</x:v>
      </x:c>
      <x:c r="R83" s="6" t="str">
        <x:v>unknown</x:v>
      </x:c>
      <x:c r="S83" s="6" t="str">
        <x:v>unknown</x:v>
      </x:c>
      <x:c r="T83" s="6" t="str"/>
      <x:c r="U83" s="6" t="str">
        <x:v>RESEARCH_WORKSPACE/Outputs/SaSa_Section_2_2/support/browser_evidence/IG_P02_initial.txt</x:v>
      </x:c>
      <x:c r="V83" s="6" t="str"/>
      <x:c r="W83" s="6" t="str">
        <x:v>emoji_only</x:v>
      </x:c>
      <x:c r="X83" s="6" t="str">
        <x:v>No purchase intention or verified purchase expressed; admiration is not purchase evidence</x:v>
      </x:c>
      <x:c r="Y83" s="7" t="b">
        <x:v>0</x:v>
      </x:c>
    </x:row>
    <x:row r="84" ht="80" customHeight="1">
      <x:c r="A84" s="6" t="str">
        <x:v>IG_P02_C04</x:v>
      </x:c>
      <x:c r="B84" s="6" t="str">
        <x:v>IG_P02</x:v>
      </x:c>
      <x:c r="C84" s="6" t="str">
        <x:v>Instagram</x:v>
      </x:c>
      <x:c r="D84" s="6" t="str">
        <x:v>excluded</x:v>
      </x:c>
      <x:c r="E84" s="6" t="str">
        <x:v>i love u to the moon and back</x:v>
      </x:c>
      <x:c r="F84" s="6" t="str">
        <x:v>I love you to the moon and back.</x:v>
      </x:c>
      <x:c r="G84" s="6" t="str">
        <x:v>i love u to the moon and back</x:v>
      </x:c>
      <x:c r="H84" s="6" t="str">
        <x:v>Expression of affection without a product or makeup referent. Do not classify as festive effect or purchase motivation. Outside seasonal comment window. Displayed 9–38w at collection falls outside the selected seasonal windows; exact date remains unknown.</x:v>
      </x:c>
      <x:c r="I84" s="6" t="n">
        <x:v>0</x:v>
      </x:c>
      <x:c r="J84" s="6" t="n">
        <x:v>0</x:v>
      </x:c>
      <x:c r="K84" s="6" t="n">
        <x:v>0</x:v>
      </x:c>
      <x:c r="L84" s="6" t="n">
        <x:v>0</x:v>
      </x:c>
      <x:c r="M84" s="6" t="n">
        <x:v>0</x:v>
      </x:c>
      <x:c r="N84" s="6" t="n">
        <x:v>0</x:v>
      </x:c>
      <x:c r="O84" s="6" t="n">
        <x:v>0</x:v>
      </x:c>
      <x:c r="P84" s="6" t="n">
        <x:v>0</x:v>
      </x:c>
      <x:c r="Q84" s="6" t="str">
        <x:v>top_level</x:v>
      </x:c>
      <x:c r="R84" s="6" t="str">
        <x:v>unknown</x:v>
      </x:c>
      <x:c r="S84" s="6" t="str">
        <x:v>unknown</x:v>
      </x:c>
      <x:c r="T84" s="6" t="str"/>
      <x:c r="U84" s="6" t="str">
        <x:v>RESEARCH_WORKSPACE/Outputs/SaSa_Section_2_2/support/browser_evidence/IG_P02_initial.txt</x:v>
      </x:c>
      <x:c r="V84" s="6" t="str"/>
      <x:c r="W84" s="6" t="str">
        <x:v>general_affection</x:v>
      </x:c>
      <x:c r="X84" s="6" t="str">
        <x:v>No purchase intention or verified purchase expressed; admiration is not purchase evidence</x:v>
      </x:c>
      <x:c r="Y84" s="7" t="b">
        <x:v>0</x:v>
      </x:c>
    </x:row>
    <x:row r="85" ht="66" customHeight="1">
      <x:c r="A85" s="6" t="str">
        <x:v>IG_P02_C05</x:v>
      </x:c>
      <x:c r="B85" s="6" t="str">
        <x:v>IG_P02</x:v>
      </x:c>
      <x:c r="C85" s="6" t="str">
        <x:v>Instagram</x:v>
      </x:c>
      <x:c r="D85" s="6" t="str">
        <x:v>excluded</x:v>
      </x:c>
      <x:c r="E85" s="6" t="str">
        <x:v>👶🏻</x:v>
      </x:c>
      <x:c r="F85" s="6" t="str">
        <x:v>[Baby emoji.]</x:v>
      </x:c>
      <x:c r="G85" s="6" t="str">
        <x:v>👶🏻</x:v>
      </x:c>
      <x:c r="H85" s="6" t="str">
        <x:v>Meaning cannot support research themes. No sentiment or motive inferred. Outside seasonal comment window. Displayed 9–38w at collection falls outside the selected seasonal windows; exact date remains unknown.</x:v>
      </x:c>
      <x:c r="I85" s="6" t="n">
        <x:v>0</x:v>
      </x:c>
      <x:c r="J85" s="6" t="n">
        <x:v>0</x:v>
      </x:c>
      <x:c r="K85" s="6" t="n">
        <x:v>0</x:v>
      </x:c>
      <x:c r="L85" s="6" t="n">
        <x:v>0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str">
        <x:v>top_level</x:v>
      </x:c>
      <x:c r="R85" s="6" t="str">
        <x:v>unknown</x:v>
      </x:c>
      <x:c r="S85" s="6" t="str">
        <x:v>unknown</x:v>
      </x:c>
      <x:c r="T85" s="6" t="str"/>
      <x:c r="U85" s="6" t="str">
        <x:v>RESEARCH_WORKSPACE/Outputs/SaSa_Section_2_2/support/browser_evidence/IG_P02_initial.txt</x:v>
      </x:c>
      <x:c r="V85" s="6" t="str"/>
      <x:c r="W85" s="6" t="str">
        <x:v>emoji_only</x:v>
      </x:c>
      <x:c r="X85" s="6" t="str">
        <x:v>No purchase intention or verified purchase expressed; admiration is not purchase evidence</x:v>
      </x:c>
      <x:c r="Y85" s="7" t="b">
        <x:v>0</x:v>
      </x:c>
    </x:row>
    <x:row r="86" ht="52" customHeight="1">
      <x:c r="A86" s="6" t="str">
        <x:v>IG_P02_C06</x:v>
      </x:c>
      <x:c r="B86" s="6" t="str">
        <x:v>IG_P02</x:v>
      </x:c>
      <x:c r="C86" s="6" t="str">
        <x:v>Instagram</x:v>
      </x:c>
      <x:c r="D86" s="6" t="str">
        <x:v>unclear</x:v>
      </x:c>
      <x:c r="E86" s="6" t="str">
        <x:v>Gorgeous 👏</x:v>
      </x:c>
      <x:c r="F86" s="6" t="str">
        <x:v>Gorgeous [clapping emoji].</x:v>
      </x:c>
      <x:c r="G86" s="6" t="str">
        <x:v>Gorgeous 👏</x:v>
      </x:c>
      <x:c r="H86" s="6" t="str">
        <x:v>No explicit makeup/effect referent. Outside seasonal comment window. Displayed 9–38w at collection falls outside the selected seasonal windows; exact date remains unknown.</x:v>
      </x:c>
      <x:c r="I86" s="6" t="n">
        <x:v>0</x:v>
      </x:c>
      <x:c r="J86" s="6" t="n">
        <x:v>0</x:v>
      </x:c>
      <x:c r="K86" s="6" t="n">
        <x:v>0</x:v>
      </x:c>
      <x:c r="L86" s="6" t="n">
        <x:v>0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str">
        <x:v>top_level</x:v>
      </x:c>
      <x:c r="R86" s="6" t="str">
        <x:v>unknown</x:v>
      </x:c>
      <x:c r="S86" s="6" t="str">
        <x:v>unknown</x:v>
      </x:c>
      <x:c r="T86" s="6" t="str"/>
      <x:c r="U86" s="6" t="str">
        <x:v>RESEARCH_WORKSPACE/Outputs/SaSa_Section_2_2/support/browser_evidence/IG_P02_initial.txt</x:v>
      </x:c>
      <x:c r="V86" s="6" t="str"/>
      <x:c r="W86" s="6" t="str">
        <x:v>uncertain</x:v>
      </x:c>
      <x:c r="X86" s="6" t="str">
        <x:v>No purchase intention or verified purchase expressed; admiration is not purchase evidence</x:v>
      </x:c>
      <x:c r="Y86" s="7" t="b">
        <x:v>0</x:v>
      </x:c>
    </x:row>
    <x:row r="87" ht="52" customHeight="1">
      <x:c r="A87" s="6" t="str">
        <x:v>IG_P02_C07</x:v>
      </x:c>
      <x:c r="B87" s="6" t="str">
        <x:v>IG_P02</x:v>
      </x:c>
      <x:c r="C87" s="6" t="str">
        <x:v>Instagram</x:v>
      </x:c>
      <x:c r="D87" s="6" t="str">
        <x:v>unclear</x:v>
      </x:c>
      <x:c r="E87" s="6" t="str">
        <x:v>SOO PRETTYYY😍😍😍</x:v>
      </x:c>
      <x:c r="F87" s="6" t="str">
        <x:v>So pretty [three heart-eyes emojis].</x:v>
      </x:c>
      <x:c r="G87" s="6" t="str">
        <x:v>SOO PRETTYYY😍😍😍</x:v>
      </x:c>
      <x:c r="H87" s="6" t="str">
        <x:v>No explicit makeup/effect referent. Outside seasonal comment window. Displayed 9–38w at collection falls outside the selected seasonal windows; exact date remains unknown.</x:v>
      </x:c>
      <x:c r="I87" s="6" t="n">
        <x:v>0</x:v>
      </x:c>
      <x:c r="J87" s="6" t="n">
        <x:v>0</x:v>
      </x:c>
      <x:c r="K87" s="6" t="n">
        <x:v>0</x:v>
      </x:c>
      <x:c r="L87" s="6" t="n">
        <x:v>0</x:v>
      </x:c>
      <x:c r="M87" s="6" t="n">
        <x:v>0</x:v>
      </x:c>
      <x:c r="N87" s="6" t="n">
        <x:v>0</x:v>
      </x:c>
      <x:c r="O87" s="6" t="n">
        <x:v>0</x:v>
      </x:c>
      <x:c r="P87" s="6" t="n">
        <x:v>0</x:v>
      </x:c>
      <x:c r="Q87" s="6" t="str">
        <x:v>top_level</x:v>
      </x:c>
      <x:c r="R87" s="6" t="str">
        <x:v>unknown</x:v>
      </x:c>
      <x:c r="S87" s="6" t="str">
        <x:v>unknown</x:v>
      </x:c>
      <x:c r="T87" s="6" t="str"/>
      <x:c r="U87" s="6" t="str">
        <x:v>RESEARCH_WORKSPACE/Outputs/SaSa_Section_2_2/support/browser_evidence/IG_P02_initial.txt</x:v>
      </x:c>
      <x:c r="V87" s="6" t="str"/>
      <x:c r="W87" s="6" t="str">
        <x:v>uncertain</x:v>
      </x:c>
      <x:c r="X87" s="6" t="str">
        <x:v>No purchase intention or verified purchase expressed; admiration is not purchase evidence</x:v>
      </x:c>
      <x:c r="Y87" s="7" t="b">
        <x:v>0</x:v>
      </x:c>
    </x:row>
    <x:row r="88" ht="80" customHeight="1">
      <x:c r="A88" s="6" t="str">
        <x:v>IG_P02_C08</x:v>
      </x:c>
      <x:c r="B88" s="6" t="str">
        <x:v>IG_P02</x:v>
      </x:c>
      <x:c r="C88" s="6" t="str">
        <x:v>Instagram</x:v>
      </x:c>
      <x:c r="D88" s="6" t="str">
        <x:v>excluded</x:v>
      </x:c>
      <x:c r="E88" s="6" t="str">
        <x:v>Gorgeous Ari 😍</x:v>
      </x:c>
      <x:c r="F88" s="6" t="str">
        <x:v>Gorgeous Ari [heart-eyes emoji].</x:v>
      </x:c>
      <x:c r="G88" s="6" t="str">
        <x:v>Gorgeous Ari 😍</x:v>
      </x:c>
      <x:c r="H88" s="6" t="str">
        <x:v>Directly praises Ari; cannot be relabeled demand for special cosmetics or evaluation of the collection. Outside seasonal comment window. Displayed 9–38w at collection falls outside the selected seasonal windows; exact date remains unknown.</x:v>
      </x:c>
      <x:c r="I88" s="6" t="n">
        <x:v>0</x:v>
      </x:c>
      <x:c r="J88" s="6" t="n">
        <x:v>0</x:v>
      </x:c>
      <x:c r="K88" s="6" t="n">
        <x:v>0</x:v>
      </x:c>
      <x:c r="L88" s="6" t="n">
        <x:v>0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str">
        <x:v>top_level</x:v>
      </x:c>
      <x:c r="R88" s="6" t="str">
        <x:v>unknown</x:v>
      </x:c>
      <x:c r="S88" s="6" t="str">
        <x:v>unknown</x:v>
      </x:c>
      <x:c r="T88" s="6" t="str"/>
      <x:c r="U88" s="6" t="str">
        <x:v>RESEARCH_WORKSPACE/Outputs/SaSa_Section_2_2/support/browser_evidence/IG_P02_initial.txt</x:v>
      </x:c>
      <x:c r="V88" s="6" t="str"/>
      <x:c r="W88" s="6" t="str">
        <x:v>celebrity_praise</x:v>
      </x:c>
      <x:c r="X88" s="6" t="str">
        <x:v>No purchase intention or verified purchase expressed; admiration is not purchase evidence</x:v>
      </x:c>
      <x:c r="Y88" s="7" t="b">
        <x:v>0</x:v>
      </x:c>
    </x:row>
    <x:row r="89" ht="66" customHeight="1">
      <x:c r="A89" s="6" t="str">
        <x:v>IG_P02_C09</x:v>
      </x:c>
      <x:c r="B89" s="6" t="str">
        <x:v>IG_P02</x:v>
      </x:c>
      <x:c r="C89" s="6" t="str">
        <x:v>Instagram</x:v>
      </x:c>
      <x:c r="D89" s="6" t="str">
        <x:v>excluded</x:v>
      </x:c>
      <x:c r="E89" s="6" t="str">
        <x:v>I love you ❤️</x:v>
      </x:c>
      <x:c r="F89" s="6" t="str">
        <x:v>I love you [red-heart emoji].</x:v>
      </x:c>
      <x:c r="G89" s="6" t="str">
        <x:v>I love you ❤️</x:v>
      </x:c>
      <x:c r="H89" s="6" t="str">
        <x:v>No product/makeup referent or expressed intent. Outside seasonal comment window. Displayed 9–38w at collection falls outside the selected seasonal windows; exact date remains unknown.</x:v>
      </x:c>
      <x:c r="I89" s="6" t="n">
        <x:v>0</x:v>
      </x:c>
      <x:c r="J89" s="6" t="n">
        <x:v>0</x:v>
      </x:c>
      <x:c r="K89" s="6" t="n">
        <x:v>0</x:v>
      </x:c>
      <x:c r="L89" s="6" t="n">
        <x:v>0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  <x:c r="Q89" s="6" t="str">
        <x:v>top_level</x:v>
      </x:c>
      <x:c r="R89" s="6" t="str">
        <x:v>unknown</x:v>
      </x:c>
      <x:c r="S89" s="6" t="str">
        <x:v>unknown</x:v>
      </x:c>
      <x:c r="T89" s="6" t="str"/>
      <x:c r="U89" s="6" t="str">
        <x:v>RESEARCH_WORKSPACE/Outputs/SaSa_Section_2_2/support/browser_evidence/IG_P02_initial.txt</x:v>
      </x:c>
      <x:c r="V89" s="6" t="str"/>
      <x:c r="W89" s="6" t="str">
        <x:v>general_affection</x:v>
      </x:c>
      <x:c r="X89" s="6" t="str">
        <x:v>No purchase intention or verified purchase expressed; admiration is not purchase evidence</x:v>
      </x:c>
      <x:c r="Y89" s="7" t="b">
        <x:v>0</x:v>
      </x:c>
    </x:row>
    <x:row r="90" ht="66" customHeight="1">
      <x:c r="A90" s="6" t="str">
        <x:v>IG_P02_C10</x:v>
      </x:c>
      <x:c r="B90" s="6" t="str">
        <x:v>IG_P02</x:v>
      </x:c>
      <x:c r="C90" s="6" t="str">
        <x:v>Instagram</x:v>
      </x:c>
      <x:c r="D90" s="6" t="str">
        <x:v>unclear</x:v>
      </x:c>
      <x:c r="E90" s="6" t="str">
        <x:v>Omg 😍😍😍</x:v>
      </x:c>
      <x:c r="F90" s="6" t="str">
        <x:v>Oh my God [three heart-eyes emojis].</x:v>
      </x:c>
      <x:c r="G90" s="6" t="str">
        <x:v>Omg 😍😍😍</x:v>
      </x:c>
      <x:c r="H90" s="6" t="str">
        <x:v>Enthusiastic reaction without substantive research content; target ambiguous. Outside seasonal comment window. Displayed 9–38w at collection falls outside the selected seasonal windows; exact date remains unknown.</x:v>
      </x:c>
      <x:c r="I90" s="6" t="n">
        <x:v>0</x:v>
      </x:c>
      <x:c r="J90" s="6" t="n">
        <x:v>0</x:v>
      </x:c>
      <x:c r="K90" s="6" t="n">
        <x:v>0</x:v>
      </x:c>
      <x:c r="L90" s="6" t="n">
        <x:v>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str">
        <x:v>top_level</x:v>
      </x:c>
      <x:c r="R90" s="6" t="str">
        <x:v>unknown</x:v>
      </x:c>
      <x:c r="S90" s="6" t="str">
        <x:v>unknown</x:v>
      </x:c>
      <x:c r="T90" s="6" t="str"/>
      <x:c r="U90" s="6" t="str">
        <x:v>RESEARCH_WORKSPACE/Outputs/SaSa_Section_2_2/support/browser_evidence/IG_P02_initial.txt</x:v>
      </x:c>
      <x:c r="V90" s="6" t="str"/>
      <x:c r="W90" s="6" t="str">
        <x:v>uncertain</x:v>
      </x:c>
      <x:c r="X90" s="6" t="str">
        <x:v>No purchase intention or verified purchase expressed; admiration is not purchase evidence</x:v>
      </x:c>
      <x:c r="Y90" s="7" t="b">
        <x:v>0</x:v>
      </x:c>
    </x:row>
    <x:row r="91" ht="52" customHeight="1">
      <x:c r="A91" s="6" t="str">
        <x:v>IG_P02_C11</x:v>
      </x:c>
      <x:c r="B91" s="6" t="str">
        <x:v>IG_P02</x:v>
      </x:c>
      <x:c r="C91" s="6" t="str">
        <x:v>Instagram</x:v>
      </x:c>
      <x:c r="D91" s="6" t="str">
        <x:v>excluded</x:v>
      </x:c>
      <x:c r="E91" s="6" t="str">
        <x:v>💙💙💙</x:v>
      </x:c>
      <x:c r="F91" s="6" t="str">
        <x:v>[Three blue-heart emojis.]</x:v>
      </x:c>
      <x:c r="G91" s="6" t="str">
        <x:v>💙💙💙</x:v>
      </x:c>
      <x:c r="H91" s="6" t="str">
        <x:v>No substantive consumer statement. Outside seasonal comment window. Displayed 9–38w at collection falls outside the selected seasonal windows; exact date remains unknown.</x:v>
      </x:c>
      <x:c r="I91" s="6" t="n">
        <x:v>0</x:v>
      </x:c>
      <x:c r="J91" s="6" t="n">
        <x:v>0</x:v>
      </x:c>
      <x:c r="K91" s="6" t="n">
        <x:v>0</x:v>
      </x:c>
      <x:c r="L91" s="6" t="n">
        <x:v>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  <x:c r="Q91" s="6" t="str">
        <x:v>top_level</x:v>
      </x:c>
      <x:c r="R91" s="6" t="str">
        <x:v>unknown</x:v>
      </x:c>
      <x:c r="S91" s="6" t="str">
        <x:v>unknown</x:v>
      </x:c>
      <x:c r="T91" s="6" t="str"/>
      <x:c r="U91" s="6" t="str">
        <x:v>RESEARCH_WORKSPACE/Outputs/SaSa_Section_2_2/support/browser_evidence/IG_P02_initial.txt</x:v>
      </x:c>
      <x:c r="V91" s="6" t="str"/>
      <x:c r="W91" s="6" t="str">
        <x:v>emoji_only</x:v>
      </x:c>
      <x:c r="X91" s="6" t="str">
        <x:v>No purchase intention or verified purchase expressed; admiration is not purchase evidence</x:v>
      </x:c>
      <x:c r="Y91" s="7" t="b">
        <x:v>0</x:v>
      </x:c>
    </x:row>
    <x:row r="92" ht="80" customHeight="1">
      <x:c r="A92" s="6" t="str">
        <x:v>IG_P02_C12</x:v>
      </x:c>
      <x:c r="B92" s="6" t="str">
        <x:v>IG_P02</x:v>
      </x:c>
      <x:c r="C92" s="6" t="str">
        <x:v>Instagram</x:v>
      </x:c>
      <x:c r="D92" s="6" t="str">
        <x:v>unclear</x:v>
      </x:c>
      <x:c r="E92" s="6" t="str">
        <x:v>Maravilhosa demais ❤️❤️❤️❤️❤️👏👏</x:v>
      </x:c>
      <x:c r="F92" s="6" t="str">
        <x:v>So wonderful [five hearts and two clapping emojis].</x:v>
      </x:c>
      <x:c r="G92" s="6" t="str">
        <x:v>Maravilhosa demais ❤️❤️❤️❤️❤️👏👏</x:v>
      </x:c>
      <x:c r="H92" s="6" t="str">
        <x:v>Portuguese generic admiration; does not explicitly name makeup, collection or buying. English translation is a paraphrase, not original wording. Outside seasonal comment window. Displayed 9–38w at collection falls outside the selected seasonal windows; exact date remains unknown.</x:v>
      </x:c>
      <x:c r="I92" s="6" t="n">
        <x:v>0</x:v>
      </x:c>
      <x:c r="J92" s="6" t="n">
        <x:v>0</x:v>
      </x:c>
      <x:c r="K92" s="6" t="n">
        <x:v>0</x:v>
      </x:c>
      <x:c r="L92" s="6" t="n">
        <x:v>0</x:v>
      </x:c>
      <x:c r="M92" s="6" t="n">
        <x:v>0</x:v>
      </x:c>
      <x:c r="N92" s="6" t="n">
        <x:v>0</x:v>
      </x:c>
      <x:c r="O92" s="6" t="n">
        <x:v>0</x:v>
      </x:c>
      <x:c r="P92" s="6" t="n">
        <x:v>0</x:v>
      </x:c>
      <x:c r="Q92" s="6" t="str">
        <x:v>top_level</x:v>
      </x:c>
      <x:c r="R92" s="6" t="str">
        <x:v>unknown</x:v>
      </x:c>
      <x:c r="S92" s="6" t="str">
        <x:v>unknown</x:v>
      </x:c>
      <x:c r="T92" s="6" t="str"/>
      <x:c r="U92" s="6" t="str">
        <x:v>RESEARCH_WORKSPACE/Outputs/SaSa_Section_2_2/support/browser_evidence/IG_P02_initial.txt</x:v>
      </x:c>
      <x:c r="V92" s="6" t="str"/>
      <x:c r="W92" s="6" t="str">
        <x:v>uncertain</x:v>
      </x:c>
      <x:c r="X92" s="6" t="str">
        <x:v>No purchase intention or verified purchase expressed; admiration is not purchase evidence</x:v>
      </x:c>
      <x:c r="Y92" s="7" t="b">
        <x:v>0</x:v>
      </x:c>
    </x:row>
    <x:row r="93" ht="94" customHeight="1">
      <x:c r="A93" s="6" t="str">
        <x:v>IG_P03_C01</x:v>
      </x:c>
      <x:c r="B93" s="6" t="str">
        <x:v>IG_P03</x:v>
      </x:c>
      <x:c r="C93" s="6" t="str">
        <x:v>Instagram</x:v>
      </x:c>
      <x:c r="D93" s="6" t="str">
        <x:v>valid</x:v>
      </x:c>
      <x:c r="E93" s="6" t="str">
        <x:v>were did you get all the stuff for it</x:v>
      </x:c>
      <x:c r="F93" s="6" t="str">
        <x:v>Where did you get all the things for it?</x:v>
      </x:c>
      <x:c r="G93" s="6" t="str">
        <x:v>were did you get all the stuff for it</x:v>
      </x:c>
      <x:c r="H93" s="6" t="str">
        <x:v>General sourcing/access question about materials for the overall look. Could concern costume, hair or makeup; does not identify colour cosmetics and is not T3 or an expressed plan to purchase. | Date/ID crosswalk: RESEARCH_WORKSPACE/ResearchTools/SaSa_Comment_Collection/data/instagram_pilot_review/browser_reconciliation.json</x:v>
      </x:c>
      <x:c r="I93" s="6" t="n">
        <x:v>0</x:v>
      </x:c>
      <x:c r="J93" s="6" t="n">
        <x:v>0</x:v>
      </x:c>
      <x:c r="K93" s="6" t="n">
        <x:v>0</x:v>
      </x:c>
      <x:c r="L93" s="6" t="n">
        <x:v>0</x:v>
      </x:c>
      <x:c r="M93" s="6" t="n">
        <x:v>0</x:v>
      </x:c>
      <x:c r="N93" s="6" t="n">
        <x:v>0</x:v>
      </x:c>
      <x:c r="O93" s="6" t="n">
        <x:v>1</x:v>
      </x:c>
      <x:c r="P93" s="6" t="n">
        <x:v>1</x:v>
      </x:c>
      <x:c r="Q93" s="6" t="str">
        <x:v>top_level</x:v>
      </x:c>
      <x:c r="R93" s="6" t="str">
        <x:v>2025</x:v>
      </x:c>
      <x:c r="S93" s="6" t="str">
        <x:v>Sep_Oct</x:v>
      </x:c>
      <x:c r="T93" s="6" t="d">
        <x:v>2025-10-18T09:35:58.000Z</x:v>
      </x:c>
      <x:c r="U93" s="6" t="str">
        <x:v>RESEARCH_WORKSPACE/Outputs/SaSa_Section_2_2/support/browser_evidence/IG_P03_full.txt</x:v>
      </x:c>
      <x:c r="V93" s="6" t="str"/>
      <x:c r="W93" s="6" t="str">
        <x:v>information_request</x:v>
      </x:c>
      <x:c r="X93" s="6" t="str">
        <x:v>No expressed purchase commitment or verified purchase; information seeking and praise are not buying evidence</x:v>
      </x:c>
      <x:c r="Y93" s="7" t="b">
        <x:v>0</x:v>
      </x:c>
    </x:row>
    <x:row r="94" ht="94" customHeight="1">
      <x:c r="A94" s="6" t="str">
        <x:v>IG_P03_C02</x:v>
      </x:c>
      <x:c r="B94" s="6" t="str">
        <x:v>IG_P03</x:v>
      </x:c>
      <x:c r="C94" s="6" t="str">
        <x:v>Instagram</x:v>
      </x:c>
      <x:c r="D94" s="6" t="str">
        <x:v>excluded</x:v>
      </x:c>
      <x:c r="E94" s="6" t="str">
        <x:v>@[anonymised]</x:v>
      </x:c>
      <x:c r="F94" s="6" t="str">
        <x:v>[Tags another account.]</x:v>
      </x:c>
      <x:c r="G94" s="6" t="str">
        <x:v>@caroline_mertins</x:v>
      </x:c>
      <x:c r="H94" s="6" t="str">
        <x:v>Original @mention preserved as comment content; author identity anonymized. Tagging alone does not establish effect preference, need or intention. | Date/ID crosswalk: RESEARCH_WORKSPACE/ResearchTools/SaSa_Comment_Collection/data/instagram_pilot_review/browser_reconciliation.json</x:v>
      </x:c>
      <x:c r="I94" s="6" t="n">
        <x:v>0</x:v>
      </x:c>
      <x:c r="J94" s="6" t="n">
        <x:v>0</x:v>
      </x:c>
      <x:c r="K94" s="6" t="n">
        <x:v>0</x:v>
      </x:c>
      <x:c r="L94" s="6" t="n">
        <x:v>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str">
        <x:v>top_level</x:v>
      </x:c>
      <x:c r="R94" s="6" t="str">
        <x:v>2024</x:v>
      </x:c>
      <x:c r="S94" s="6" t="str">
        <x:v>Sep_Oct</x:v>
      </x:c>
      <x:c r="T94" s="6" t="d">
        <x:v>2024-10-30T05:58:14.000Z</x:v>
      </x:c>
      <x:c r="U94" s="6" t="str">
        <x:v>RESEARCH_WORKSPACE/Outputs/SaSa_Section_2_2/support/browser_evidence/IG_P03_full.txt</x:v>
      </x:c>
      <x:c r="V94" s="6" t="str"/>
      <x:c r="W94" s="6" t="str">
        <x:v>tag_only</x:v>
      </x:c>
      <x:c r="X94" s="6" t="str">
        <x:v>No expressed purchase commitment or verified purchase; information seeking and praise are not buying evidence</x:v>
      </x:c>
      <x:c r="Y94" s="7" t="b">
        <x:v>0</x:v>
      </x:c>
    </x:row>
    <x:row r="95" ht="108" customHeight="1">
      <x:c r="A95" s="6" t="str">
        <x:v>IG_P03_C03</x:v>
      </x:c>
      <x:c r="B95" s="6" t="str">
        <x:v>IG_P03</x:v>
      </x:c>
      <x:c r="C95" s="6" t="str">
        <x:v>Instagram</x:v>
      </x:c>
      <x:c r="D95" s="6" t="str">
        <x:v>valid</x:v>
      </x:c>
      <x:c r="E95" s="6" t="str">
        <x:v>Gorgeous 🖤</x:v>
      </x:c>
      <x:c r="F95" s="6" t="str">
        <x:v>Gorgeous [black-heart emoji].</x:v>
      </x:c>
      <x:c r="G95" s="6" t="str">
        <x:v>Gorgeous 🖤</x:v>
      </x:c>
      <x:c r="H95" s="6" t="str">
        <x:v>Generic aesthetic appraisal in a Halloween makeup-look showcase, consistent with tutorial praise coding. Specific contribution of makeup, hair, styling or person unknown; no motive or purchase inferred. | Date/ID crosswalk: RESEARCH_WORKSPACE/ResearchTools/SaSa_Comment_Collection/data/instagram_pilot_review/browser_reconciliation.json</x:v>
      </x:c>
      <x:c r="I95" s="6" t="n">
        <x:v>1</x:v>
      </x:c>
      <x:c r="J95" s="6" t="n">
        <x:v>0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str">
        <x:v>top_level</x:v>
      </x:c>
      <x:c r="R95" s="6" t="str">
        <x:v>2024</x:v>
      </x:c>
      <x:c r="S95" s="6" t="str">
        <x:v>Sep_Oct</x:v>
      </x:c>
      <x:c r="T95" s="6" t="d">
        <x:v>2024-10-29T04:05:05.000Z</x:v>
      </x:c>
      <x:c r="U95" s="6" t="str">
        <x:v>RESEARCH_WORKSPACE/Outputs/SaSa_Section_2_2/support/browser_evidence/IG_P03_full.txt</x:v>
      </x:c>
      <x:c r="V95" s="6" t="str"/>
      <x:c r="W95" s="6" t="str">
        <x:v>effect_praise</x:v>
      </x:c>
      <x:c r="X95" s="6" t="str">
        <x:v>No expressed purchase commitment or verified purchase; information seeking and praise are not buying evidence</x:v>
      </x:c>
      <x:c r="Y95" s="7" t="b">
        <x:v>0</x:v>
      </x:c>
    </x:row>
    <x:row r="96" ht="80" customHeight="1">
      <x:c r="A96" s="6" t="str">
        <x:v>IG_P03_C04</x:v>
      </x:c>
      <x:c r="B96" s="6" t="str">
        <x:v>IG_P03</x:v>
      </x:c>
      <x:c r="C96" s="6" t="str">
        <x:v>Instagram</x:v>
      </x:c>
      <x:c r="D96" s="6" t="str">
        <x:v>valid</x:v>
      </x:c>
      <x:c r="E96" s="6" t="str">
        <x:v>Wow ❤️it's great</x:v>
      </x:c>
      <x:c r="F96" s="6" t="str">
        <x:v>Wow [heart emoji], it is great.</x:v>
      </x:c>
      <x:c r="G96" s="6" t="str">
        <x:v>Wow ❤️it's great</x:v>
      </x:c>
      <x:c r="H96" s="6" t="str">
        <x:v>Explicit positive evaluation of the presented look in context; broad appraisal only, not evidence of a product's effect or buying. | Date/ID crosswalk: RESEARCH_WORKSPACE/ResearchTools/SaSa_Comment_Collection/data/instagram_pilot_review/browser_reconciliation.json</x:v>
      </x:c>
      <x:c r="I96" s="6" t="n">
        <x:v>1</x:v>
      </x:c>
      <x:c r="J96" s="6" t="n">
        <x:v>0</x:v>
      </x:c>
      <x:c r="K96" s="6" t="n">
        <x:v>0</x:v>
      </x:c>
      <x:c r="L96" s="6" t="n">
        <x:v>0</x:v>
      </x:c>
      <x:c r="M96" s="6" t="n">
        <x:v>0</x:v>
      </x:c>
      <x:c r="N96" s="6" t="n">
        <x:v>0</x:v>
      </x:c>
      <x:c r="O96" s="6" t="n">
        <x:v>0</x:v>
      </x:c>
      <x:c r="P96" s="6" t="n">
        <x:v>0</x:v>
      </x:c>
      <x:c r="Q96" s="6" t="str">
        <x:v>top_level</x:v>
      </x:c>
      <x:c r="R96" s="6" t="str">
        <x:v>2024</x:v>
      </x:c>
      <x:c r="S96" s="6" t="str">
        <x:v>Sep_Oct</x:v>
      </x:c>
      <x:c r="T96" s="6" t="d">
        <x:v>2024-10-27T14:00:18.000Z</x:v>
      </x:c>
      <x:c r="U96" s="6" t="str">
        <x:v>RESEARCH_WORKSPACE/Outputs/SaSa_Section_2_2/support/browser_evidence/IG_P03_full.txt</x:v>
      </x:c>
      <x:c r="V96" s="6" t="str"/>
      <x:c r="W96" s="6" t="str">
        <x:v>effect_praise</x:v>
      </x:c>
      <x:c r="X96" s="6" t="str">
        <x:v>No expressed purchase commitment or verified purchase; information seeking and praise are not buying evidence</x:v>
      </x:c>
      <x:c r="Y96" s="7" t="b">
        <x:v>0</x:v>
      </x:c>
    </x:row>
    <x:row r="97" ht="66" customHeight="1">
      <x:c r="A97" s="6" t="str">
        <x:v>IG_P03_C05</x:v>
      </x:c>
      <x:c r="B97" s="6" t="str">
        <x:v>IG_P03</x:v>
      </x:c>
      <x:c r="C97" s="6" t="str">
        <x:v>Instagram</x:v>
      </x:c>
      <x:c r="D97" s="6" t="str">
        <x:v>excluded</x:v>
      </x:c>
      <x:c r="E97" s="6" t="str">
        <x:v>😍😍😍</x:v>
      </x:c>
      <x:c r="F97" s="6" t="str">
        <x:v>[Three heart-eyes emojis.]</x:v>
      </x:c>
      <x:c r="G97" s="6" t="str">
        <x:v>😍😍😍</x:v>
      </x:c>
      <x:c r="H97" s="6" t="str">
        <x:v>No substantive consumer statement; excluded consistently across platforms. | Date/ID crosswalk: RESEARCH_WORKSPACE/ResearchTools/SaSa_Comment_Collection/data/instagram_pilot_review/browser_reconciliation.json</x:v>
      </x:c>
      <x:c r="I97" s="6" t="n">
        <x:v>0</x:v>
      </x:c>
      <x:c r="J97" s="6" t="n">
        <x:v>0</x:v>
      </x:c>
      <x:c r="K97" s="6" t="n">
        <x:v>0</x:v>
      </x:c>
      <x:c r="L97" s="6" t="n">
        <x:v>0</x:v>
      </x:c>
      <x:c r="M97" s="6" t="n">
        <x:v>0</x:v>
      </x:c>
      <x:c r="N97" s="6" t="n">
        <x:v>0</x:v>
      </x:c>
      <x:c r="O97" s="6" t="n">
        <x:v>0</x:v>
      </x:c>
      <x:c r="P97" s="6" t="n">
        <x:v>0</x:v>
      </x:c>
      <x:c r="Q97" s="6" t="str">
        <x:v>top_level</x:v>
      </x:c>
      <x:c r="R97" s="6" t="str">
        <x:v>2024</x:v>
      </x:c>
      <x:c r="S97" s="6" t="str">
        <x:v>Sep_Oct</x:v>
      </x:c>
      <x:c r="T97" s="6" t="d">
        <x:v>2024-10-27T04:36:15.000Z</x:v>
      </x:c>
      <x:c r="U97" s="6" t="str">
        <x:v>RESEARCH_WORKSPACE/Outputs/SaSa_Section_2_2/support/browser_evidence/IG_P03_full.txt</x:v>
      </x:c>
      <x:c r="V97" s="6" t="str"/>
      <x:c r="W97" s="6" t="str">
        <x:v>emoji_only</x:v>
      </x:c>
      <x:c r="X97" s="6" t="str">
        <x:v>No expressed purchase commitment or verified purchase; information seeking and praise are not buying evidence</x:v>
      </x:c>
      <x:c r="Y97" s="7" t="b">
        <x:v>0</x:v>
      </x:c>
    </x:row>
    <x:row r="98" ht="108" customHeight="1">
      <x:c r="A98" s="6" t="str">
        <x:v>IG_P03_C06</x:v>
      </x:c>
      <x:c r="B98" s="6" t="str">
        <x:v>IG_P03</x:v>
      </x:c>
      <x:c r="C98" s="6" t="str">
        <x:v>Instagram</x:v>
      </x:c>
      <x:c r="D98" s="6" t="str">
        <x:v>valid</x:v>
      </x:c>
      <x:c r="E98" s="6" t="str">
        <x:v>show👏</x:v>
      </x:c>
      <x:c r="F98" s="6" t="str">
        <x:v>Awesome [clapping emoji].</x:v>
      </x:c>
      <x:c r="G98" s="6" t="str">
        <x:v>show👏</x:v>
      </x:c>
      <x:c r="H98" s="6" t="str">
        <x:v>Portuguese colloquial positive appraisal in this Portuguese-language makeup-look context; broad aesthetic praise only. Translation is interpretation, not original wording; no product motive or buying inferred. | Date/ID crosswalk: RESEARCH_WORKSPACE/ResearchTools/SaSa_Comment_Collection/data/instagram_pilot_review/browser_reconciliation.json</x:v>
      </x:c>
      <x:c r="I98" s="6" t="n">
        <x:v>1</x:v>
      </x:c>
      <x:c r="J98" s="6" t="n">
        <x:v>0</x:v>
      </x:c>
      <x:c r="K98" s="6" t="n">
        <x:v>0</x:v>
      </x:c>
      <x:c r="L98" s="6" t="n">
        <x:v>0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  <x:c r="Q98" s="6" t="str">
        <x:v>top_level</x:v>
      </x:c>
      <x:c r="R98" s="6" t="str">
        <x:v>2024</x:v>
      </x:c>
      <x:c r="S98" s="6" t="str">
        <x:v>Sep_Oct</x:v>
      </x:c>
      <x:c r="T98" s="6" t="d">
        <x:v>2024-10-25T10:23:47.000Z</x:v>
      </x:c>
      <x:c r="U98" s="6" t="str">
        <x:v>RESEARCH_WORKSPACE/Outputs/SaSa_Section_2_2/support/browser_evidence/IG_P03_full.txt</x:v>
      </x:c>
      <x:c r="V98" s="6" t="str"/>
      <x:c r="W98" s="6" t="str">
        <x:v>effect_praise</x:v>
      </x:c>
      <x:c r="X98" s="6" t="str">
        <x:v>No expressed purchase commitment or verified purchase; information seeking and praise are not buying evidence</x:v>
      </x:c>
      <x:c r="Y98" s="7" t="b">
        <x:v>0</x:v>
      </x:c>
    </x:row>
    <x:row r="99" ht="94" customHeight="1">
      <x:c r="A99" s="6" t="str">
        <x:v>IG_P03_C07</x:v>
      </x:c>
      <x:c r="B99" s="6" t="str">
        <x:v>IG_P03</x:v>
      </x:c>
      <x:c r="C99" s="6" t="str">
        <x:v>Instagram</x:v>
      </x:c>
      <x:c r="D99" s="6" t="str">
        <x:v>excluded</x:v>
      </x:c>
      <x:c r="E99" s="6" t="str">
        <x:v>🔥 Happy Halloween! Checkout #bones on our IG!</x:v>
      </x:c>
      <x:c r="F99" s="6" t="str">
        <x:v>[Fire emoji] Happy Halloween! Check out #bones on our Instagram!</x:v>
      </x:c>
      <x:c r="G99" s="6" t="str">
        <x:v>🔥 Happy Halloween! Checkout #bones on our IG!</x:v>
      </x:c>
      <x:c r="H99" s="6" t="str">
        <x:v>Explicit promotion of the commenter's own Instagram content, retained raw but excluded from consumer need evidence. Hashtag text joined from inline DOM link. | Date/ID crosswalk: RESEARCH_WORKSPACE/ResearchTools/SaSa_Comment_Collection/data/instagram_pilot_review/browser_reconciliation.json</x:v>
      </x:c>
      <x:c r="I99" s="6" t="n">
        <x:v>0</x:v>
      </x:c>
      <x:c r="J99" s="6" t="n">
        <x:v>0</x:v>
      </x:c>
      <x:c r="K99" s="6" t="n">
        <x:v>0</x:v>
      </x:c>
      <x:c r="L99" s="6" t="n">
        <x:v>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str">
        <x:v>top_level</x:v>
      </x:c>
      <x:c r="R99" s="6" t="str">
        <x:v>2024</x:v>
      </x:c>
      <x:c r="S99" s="6" t="str">
        <x:v>Sep_Oct</x:v>
      </x:c>
      <x:c r="T99" s="6" t="d">
        <x:v>2024-10-21T20:28:25.000Z</x:v>
      </x:c>
      <x:c r="U99" s="6" t="str">
        <x:v>RESEARCH_WORKSPACE/Outputs/SaSa_Section_2_2/support/browser_evidence/IG_P03_full.txt</x:v>
      </x:c>
      <x:c r="V99" s="6" t="str"/>
      <x:c r="W99" s="6" t="str">
        <x:v>commercial_promotion</x:v>
      </x:c>
      <x:c r="X99" s="6" t="str">
        <x:v>No expressed purchase commitment or verified purchase; information seeking and praise are not buying evidence</x:v>
      </x:c>
      <x:c r="Y99" s="7" t="b">
        <x:v>0</x:v>
      </x:c>
    </x:row>
    <x:row r="100" ht="94" customHeight="1">
      <x:c r="A100" s="6" t="str">
        <x:v>IG_P03_C08</x:v>
      </x:c>
      <x:c r="B100" s="6" t="str">
        <x:v>IG_P03</x:v>
      </x:c>
      <x:c r="C100" s="6" t="str">
        <x:v>Instagram</x:v>
      </x:c>
      <x:c r="D100" s="6" t="str">
        <x:v>unclear</x:v>
      </x:c>
      <x:c r="E100" s="6" t="str">
        <x:v>I am OBSESSED with</x:v>
      </x:c>
      <x:c r="F100" s="6" t="str">
        <x:v>I am obsessed with…</x:v>
      </x:c>
      <x:c r="G100" s="6" t="str">
        <x:v>I am OBSESSED with</x:v>
      </x:c>
      <x:c r="H100" s="6" t="str">
        <x:v>Sentence ends at with in the saved DOM. Do not supply missing text or assume a product/visual referent; enthusiastic tone alone is not a research finding. | Date/ID crosswalk: RESEARCH_WORKSPACE/ResearchTools/SaSa_Comment_Collection/data/instagram_pilot_review/browser_reconciliation.json</x:v>
      </x:c>
      <x:c r="I100" s="6" t="n">
        <x:v>0</x:v>
      </x:c>
      <x:c r="J100" s="6" t="n">
        <x:v>0</x:v>
      </x:c>
      <x:c r="K100" s="6" t="n">
        <x:v>0</x:v>
      </x:c>
      <x:c r="L100" s="6" t="n">
        <x:v>0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str">
        <x:v>top_level</x:v>
      </x:c>
      <x:c r="R100" s="6" t="str">
        <x:v>2024</x:v>
      </x:c>
      <x:c r="S100" s="6" t="str">
        <x:v>Sep_Oct</x:v>
      </x:c>
      <x:c r="T100" s="6" t="d">
        <x:v>2024-10-21T20:05:18.000Z</x:v>
      </x:c>
      <x:c r="U100" s="6" t="str">
        <x:v>RESEARCH_WORKSPACE/Outputs/SaSa_Section_2_2/support/browser_evidence/IG_P03_full.txt</x:v>
      </x:c>
      <x:c r="V100" s="6" t="str"/>
      <x:c r="W100" s="6" t="str">
        <x:v>uncertain</x:v>
      </x:c>
      <x:c r="X100" s="6" t="str">
        <x:v>No expressed purchase commitment or verified purchase; information seeking and praise are not buying evidence</x:v>
      </x:c>
      <x:c r="Y100" s="7" t="b">
        <x:v>0</x:v>
      </x:c>
    </x:row>
    <x:row r="101" ht="80" customHeight="1">
      <x:c r="A101" s="6" t="str">
        <x:v>IG_P03_C09</x:v>
      </x:c>
      <x:c r="B101" s="6" t="str">
        <x:v>IG_P03</x:v>
      </x:c>
      <x:c r="C101" s="6" t="str">
        <x:v>Instagram</x:v>
      </x:c>
      <x:c r="D101" s="6" t="str">
        <x:v>unclear</x:v>
      </x:c>
      <x:c r="E101" s="6" t="str">
        <x:v>WooooW 😍</x:v>
      </x:c>
      <x:c r="F101" s="6" t="str">
        <x:v>Wow [heart-eyes emoji].</x:v>
      </x:c>
      <x:c r="G101" s="6" t="str">
        <x:v>WooooW 😍</x:v>
      </x:c>
      <x:c r="H101" s="6" t="str">
        <x:v>Reaction without a stated quality, object or need. Retained as uncertain consistently with Yess/Omg, not forced into an effect-demand theme. | Date/ID crosswalk: RESEARCH_WORKSPACE/ResearchTools/SaSa_Comment_Collection/data/instagram_pilot_review/browser_reconciliation.json</x:v>
      </x:c>
      <x:c r="I101" s="6" t="n">
        <x:v>0</x:v>
      </x:c>
      <x:c r="J101" s="6" t="n">
        <x:v>0</x:v>
      </x:c>
      <x:c r="K101" s="6" t="n">
        <x:v>0</x:v>
      </x:c>
      <x:c r="L101" s="6" t="n">
        <x:v>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str">
        <x:v>top_level</x:v>
      </x:c>
      <x:c r="R101" s="6" t="str">
        <x:v>2024</x:v>
      </x:c>
      <x:c r="S101" s="6" t="str">
        <x:v>Sep_Oct</x:v>
      </x:c>
      <x:c r="T101" s="6" t="d">
        <x:v>2024-10-21T17:37:54.000Z</x:v>
      </x:c>
      <x:c r="U101" s="6" t="str">
        <x:v>RESEARCH_WORKSPACE/Outputs/SaSa_Section_2_2/support/browser_evidence/IG_P03_full.txt</x:v>
      </x:c>
      <x:c r="V101" s="6" t="str"/>
      <x:c r="W101" s="6" t="str">
        <x:v>uncertain</x:v>
      </x:c>
      <x:c r="X101" s="6" t="str">
        <x:v>No expressed purchase commitment or verified purchase; information seeking and praise are not buying evidence</x:v>
      </x:c>
      <x:c r="Y101" s="7" t="b">
        <x:v>0</x:v>
      </x:c>
    </x:row>
    <x:row r="102" ht="80" customHeight="1">
      <x:c r="A102" s="6" t="str">
        <x:v>IG_P03_C10</x:v>
      </x:c>
      <x:c r="B102" s="6" t="str">
        <x:v>IG_P03</x:v>
      </x:c>
      <x:c r="C102" s="6" t="str">
        <x:v>Instagram</x:v>
      </x:c>
      <x:c r="D102" s="6" t="str">
        <x:v>excluded</x:v>
      </x:c>
      <x:c r="E102" s="6" t="str">
        <x:v>😍😍😍</x:v>
      </x:c>
      <x:c r="F102" s="6" t="str">
        <x:v>[Three heart-eyes emojis.]</x:v>
      </x:c>
      <x:c r="G102" s="6" t="str">
        <x:v>😍😍😍</x:v>
      </x:c>
      <x:c r="H102" s="6" t="str">
        <x:v>Different source author/comment from C05, therefore not deduplicated merely because the text matches; excluded as emoji-only. | Date/ID crosswalk: RESEARCH_WORKSPACE/ResearchTools/SaSa_Comment_Collection/data/instagram_pilot_review/browser_reconciliation.json</x:v>
      </x:c>
      <x:c r="I102" s="6" t="n">
        <x:v>0</x:v>
      </x:c>
      <x:c r="J102" s="6" t="n">
        <x:v>0</x:v>
      </x:c>
      <x:c r="K102" s="6" t="n">
        <x:v>0</x:v>
      </x:c>
      <x:c r="L102" s="6" t="n">
        <x:v>0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  <x:c r="Q102" s="6" t="str">
        <x:v>top_level</x:v>
      </x:c>
      <x:c r="R102" s="6" t="str">
        <x:v>2024</x:v>
      </x:c>
      <x:c r="S102" s="6" t="str">
        <x:v>Sep_Oct</x:v>
      </x:c>
      <x:c r="T102" s="6" t="d">
        <x:v>2024-10-21T16:11:38.000Z</x:v>
      </x:c>
      <x:c r="U102" s="6" t="str">
        <x:v>RESEARCH_WORKSPACE/Outputs/SaSa_Section_2_2/support/browser_evidence/IG_P03_full.txt</x:v>
      </x:c>
      <x:c r="V102" s="6" t="str"/>
      <x:c r="W102" s="6" t="str">
        <x:v>emoji_only</x:v>
      </x:c>
      <x:c r="X102" s="6" t="str">
        <x:v>No expressed purchase commitment or verified purchase; information seeking and praise are not buying evidence</x:v>
      </x:c>
      <x:c r="Y102" s="7" t="b">
        <x:v>0</x:v>
      </x:c>
    </x:row>
    <x:row r="103" ht="108" customHeight="1">
      <x:c r="A103" s="6" t="str">
        <x:v>IG_P03_C11</x:v>
      </x:c>
      <x:c r="B103" s="6" t="str">
        <x:v>IG_P03</x:v>
      </x:c>
      <x:c r="C103" s="6" t="str">
        <x:v>Instagram</x:v>
      </x:c>
      <x:c r="D103" s="6" t="str">
        <x:v>valid</x:v>
      </x:c>
      <x:c r="E103" s="6" t="str">
        <x:v>Genial! Con que te pintantes el cabello?</x:v>
      </x:c>
      <x:c r="F103" s="6" t="str">
        <x:v>Great! What did you colour your hair with?</x:v>
      </x:c>
      <x:c r="G103" s="6" t="str">
        <x:v>Genial! Con que te pintantes el cabello?</x:v>
      </x:c>
      <x:c r="H103" s="6" t="str">
        <x:v>Positive look appraisal plus explicit hair-colouring-material question. Hair-related context is T8, not evidence of a lipstick/eyeshadow or other colour-cosmetics need. Does not state intent to buy. | Date/ID crosswalk: RESEARCH_WORKSPACE/ResearchTools/SaSa_Comment_Collection/data/instagram_pilot_review/browser_reconciliation.json</x:v>
      </x:c>
      <x:c r="I103" s="6" t="n">
        <x:v>1</x:v>
      </x:c>
      <x:c r="J103" s="6" t="n">
        <x:v>0</x:v>
      </x:c>
      <x:c r="K103" s="6" t="n">
        <x:v>0</x:v>
      </x:c>
      <x:c r="L103" s="6" t="n">
        <x:v>0</x:v>
      </x:c>
      <x:c r="M103" s="6" t="n">
        <x:v>0</x:v>
      </x:c>
      <x:c r="N103" s="6" t="n">
        <x:v>0</x:v>
      </x:c>
      <x:c r="O103" s="6" t="n">
        <x:v>0</x:v>
      </x:c>
      <x:c r="P103" s="6" t="n">
        <x:v>1</x:v>
      </x:c>
      <x:c r="Q103" s="6" t="str">
        <x:v>top_level</x:v>
      </x:c>
      <x:c r="R103" s="6" t="str">
        <x:v>2024</x:v>
      </x:c>
      <x:c r="S103" s="6" t="str">
        <x:v>Sep_Oct</x:v>
      </x:c>
      <x:c r="T103" s="6" t="d">
        <x:v>2024-10-21T13:27:30.000Z</x:v>
      </x:c>
      <x:c r="U103" s="6" t="str">
        <x:v>RESEARCH_WORKSPACE/Outputs/SaSa_Section_2_2/support/browser_evidence/IG_P03_full.txt</x:v>
      </x:c>
      <x:c r="V103" s="6" t="str"/>
      <x:c r="W103" s="6" t="str">
        <x:v>effect_praise; information_request</x:v>
      </x:c>
      <x:c r="X103" s="6" t="str">
        <x:v>No expressed purchase commitment or verified purchase; information seeking and praise are not buying evidence</x:v>
      </x:c>
      <x:c r="Y103" s="7" t="b">
        <x:v>0</x:v>
      </x:c>
    </x:row>
    <x:row r="104" ht="80" customHeight="1">
      <x:c r="A104" s="6" t="str">
        <x:v>IG_P03_C12</x:v>
      </x:c>
      <x:c r="B104" s="6" t="str">
        <x:v>IG_P03</x:v>
      </x:c>
      <x:c r="C104" s="6" t="str">
        <x:v>Instagram</x:v>
      </x:c>
      <x:c r="D104" s="6" t="str">
        <x:v>unclear</x:v>
      </x:c>
      <x:c r="E104" s="6" t="str">
        <x:v>Omg 🔥😍</x:v>
      </x:c>
      <x:c r="F104" s="6" t="str">
        <x:v>Oh my God [fire and heart-eyes emojis].</x:v>
      </x:c>
      <x:c r="G104" s="6" t="str">
        <x:v>Omg 🔥😍</x:v>
      </x:c>
      <x:c r="H104" s="6" t="str">
        <x:v>Enthusiastic reaction without identifiable product/effect evaluation or need. Same uncertain rule as P02 Omg. | Date/ID crosswalk: RESEARCH_WORKSPACE/ResearchTools/SaSa_Comment_Collection/data/instagram_pilot_review/browser_reconciliation.json</x:v>
      </x:c>
      <x:c r="I104" s="6" t="n">
        <x:v>0</x:v>
      </x:c>
      <x:c r="J104" s="6" t="n">
        <x:v>0</x:v>
      </x:c>
      <x:c r="K104" s="6" t="n">
        <x:v>0</x:v>
      </x:c>
      <x:c r="L104" s="6" t="n">
        <x:v>0</x:v>
      </x:c>
      <x:c r="M104" s="6" t="n">
        <x:v>0</x:v>
      </x:c>
      <x:c r="N104" s="6" t="n">
        <x:v>0</x:v>
      </x:c>
      <x:c r="O104" s="6" t="n">
        <x:v>0</x:v>
      </x:c>
      <x:c r="P104" s="6" t="n">
        <x:v>0</x:v>
      </x:c>
      <x:c r="Q104" s="6" t="str">
        <x:v>top_level</x:v>
      </x:c>
      <x:c r="R104" s="6" t="str">
        <x:v>2024</x:v>
      </x:c>
      <x:c r="S104" s="6" t="str">
        <x:v>Sep_Oct</x:v>
      </x:c>
      <x:c r="T104" s="6" t="d">
        <x:v>2024-10-21T13:16:00.000Z</x:v>
      </x:c>
      <x:c r="U104" s="6" t="str">
        <x:v>RESEARCH_WORKSPACE/Outputs/SaSa_Section_2_2/support/browser_evidence/IG_P03_full.txt</x:v>
      </x:c>
      <x:c r="V104" s="6" t="str"/>
      <x:c r="W104" s="6" t="str">
        <x:v>uncertain</x:v>
      </x:c>
      <x:c r="X104" s="6" t="str">
        <x:v>No expressed purchase commitment or verified purchase; information seeking and praise are not buying evidence</x:v>
      </x:c>
      <x:c r="Y104" s="7" t="b">
        <x:v>0</x:v>
      </x:c>
    </x:row>
    <x:row r="105" ht="94" customHeight="1">
      <x:c r="A105" s="6" t="str">
        <x:v>IG_P03_C13</x:v>
      </x:c>
      <x:c r="B105" s="6" t="str">
        <x:v>IG_P03</x:v>
      </x:c>
      <x:c r="C105" s="6" t="str">
        <x:v>Instagram</x:v>
      </x:c>
      <x:c r="D105" s="6" t="str">
        <x:v>unclear</x:v>
      </x:c>
      <x:c r="E105" s="6" t="str">
        <x:v>Uau</x:v>
      </x:c>
      <x:c r="F105" s="6" t="str">
        <x:v>Wow.</x:v>
      </x:c>
      <x:c r="G105" s="6" t="str">
        <x:v>Uau</x:v>
      </x:c>
      <x:c r="H105" s="6" t="str">
        <x:v>Portuguese exclamation only; no stated object, quality or need. Kept uncertain rather than converting excitement into a substantive effect finding. | Date/ID crosswalk: RESEARCH_WORKSPACE/ResearchTools/SaSa_Comment_Collection/data/instagram_pilot_review/browser_reconciliation.json</x:v>
      </x:c>
      <x:c r="I105" s="6" t="n">
        <x:v>0</x:v>
      </x:c>
      <x:c r="J105" s="6" t="n">
        <x:v>0</x:v>
      </x:c>
      <x:c r="K105" s="6" t="n">
        <x:v>0</x:v>
      </x:c>
      <x:c r="L105" s="6" t="n">
        <x:v>0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  <x:c r="Q105" s="6" t="str">
        <x:v>top_level</x:v>
      </x:c>
      <x:c r="R105" s="6" t="str">
        <x:v>2024</x:v>
      </x:c>
      <x:c r="S105" s="6" t="str">
        <x:v>Sep_Oct</x:v>
      </x:c>
      <x:c r="T105" s="6" t="d">
        <x:v>2024-10-21T04:17:47.000Z</x:v>
      </x:c>
      <x:c r="U105" s="6" t="str">
        <x:v>RESEARCH_WORKSPACE/Outputs/SaSa_Section_2_2/support/browser_evidence/IG_P03_full.txt</x:v>
      </x:c>
      <x:c r="V105" s="6" t="str"/>
      <x:c r="W105" s="6" t="str">
        <x:v>uncertain</x:v>
      </x:c>
      <x:c r="X105" s="6" t="str">
        <x:v>No expressed purchase commitment or verified purchase; information seeking and praise are not buying evidence</x:v>
      </x:c>
      <x:c r="Y105" s="7" t="b">
        <x:v>0</x:v>
      </x:c>
    </x:row>
    <x:row r="106" ht="94" customHeight="1">
      <x:c r="A106" s="6" t="str">
        <x:v>IG_P03_C14</x:v>
      </x:c>
      <x:c r="B106" s="6" t="str">
        <x:v>IG_P03</x:v>
      </x:c>
      <x:c r="C106" s="6" t="str">
        <x:v>Instagram</x:v>
      </x:c>
      <x:c r="D106" s="6" t="str">
        <x:v>valid</x:v>
      </x:c>
      <x:c r="E106" s="6" t="str">
        <x:v>Incredible</x:v>
      </x:c>
      <x:c r="F106" s="6" t="str">
        <x:v>Incredible.</x:v>
      </x:c>
      <x:c r="G106" s="6" t="str">
        <x:v>Incredible</x:v>
      </x:c>
      <x:c r="H106" s="6" t="str">
        <x:v>Positive aesthetic appraisal in a makeup-look showcase; same broad coding as IG_P01 Incredible and Xiaohongshu tutorial praise. No specific product effect, motive or purchase inferred. | Date/ID crosswalk: RESEARCH_WORKSPACE/ResearchTools/SaSa_Comment_Collection/data/instagram_pilot_review/browser_reconciliation.json</x:v>
      </x:c>
      <x:c r="I106" s="6" t="n">
        <x:v>1</x:v>
      </x:c>
      <x:c r="J106" s="6" t="n">
        <x:v>0</x:v>
      </x:c>
      <x:c r="K106" s="6" t="n">
        <x:v>0</x:v>
      </x:c>
      <x:c r="L106" s="6" t="n">
        <x:v>0</x:v>
      </x:c>
      <x:c r="M106" s="6" t="n">
        <x:v>0</x:v>
      </x:c>
      <x:c r="N106" s="6" t="n">
        <x:v>0</x:v>
      </x:c>
      <x:c r="O106" s="6" t="n">
        <x:v>0</x:v>
      </x:c>
      <x:c r="P106" s="6" t="n">
        <x:v>0</x:v>
      </x:c>
      <x:c r="Q106" s="6" t="str">
        <x:v>top_level</x:v>
      </x:c>
      <x:c r="R106" s="6" t="str">
        <x:v>2024</x:v>
      </x:c>
      <x:c r="S106" s="6" t="str">
        <x:v>Sep_Oct</x:v>
      </x:c>
      <x:c r="T106" s="6" t="d">
        <x:v>2024-10-21T00:25:34.000Z</x:v>
      </x:c>
      <x:c r="U106" s="6" t="str">
        <x:v>RESEARCH_WORKSPACE/Outputs/SaSa_Section_2_2/support/browser_evidence/IG_P03_full.txt</x:v>
      </x:c>
      <x:c r="V106" s="6" t="str"/>
      <x:c r="W106" s="6" t="str">
        <x:v>effect_praise</x:v>
      </x:c>
      <x:c r="X106" s="6" t="str">
        <x:v>No expressed purchase commitment or verified purchase; information seeking and praise are not buying evidence</x:v>
      </x:c>
      <x:c r="Y106" s="7" t="b">
        <x:v>0</x:v>
      </x:c>
    </x:row>
    <x:row r="107" ht="108" customHeight="1">
      <x:c r="A107" s="6" t="str">
        <x:v>IG_P03_C15</x:v>
      </x:c>
      <x:c r="B107" s="6" t="str">
        <x:v>IG_P03</x:v>
      </x:c>
      <x:c r="C107" s="6" t="str">
        <x:v>Instagram</x:v>
      </x:c>
      <x:c r="D107" s="6" t="str">
        <x:v>valid</x:v>
      </x:c>
      <x:c r="E107" s="6" t="str">
        <x:v>What about your hair? Is it a wig or something else? You're gorgeous 😍</x:v>
      </x:c>
      <x:c r="F107" s="6" t="str">
        <x:v>What about your hair? Is it a wig or something else? You are gorgeous [heart-eyes emoji].</x:v>
      </x:c>
      <x:c r="G107" s="6" t="str">
        <x:v>What about your hair? Is it a wig or something else? You're gorgeous 😍</x:v>
      </x:c>
      <x:c r="H107" s="6" t="str">
        <x:v>Hair/wig information request plus generic aesthetic appraisal in look-showcase context. T8 hair/accessory theme, not T3 colour cosmetics; neither a need to buy a wig nor cosmetics purchase intent is established. | Date/ID crosswalk: RESEARCH_WORKSPACE/ResearchTools/SaSa_Comment_Collection/data/instagram_pilot_review/browser_reconciliation.json</x:v>
      </x:c>
      <x:c r="I107" s="6" t="n">
        <x:v>1</x:v>
      </x:c>
      <x:c r="J107" s="6" t="n">
        <x:v>0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1</x:v>
      </x:c>
      <x:c r="Q107" s="6" t="str">
        <x:v>top_level</x:v>
      </x:c>
      <x:c r="R107" s="6" t="str">
        <x:v>2024</x:v>
      </x:c>
      <x:c r="S107" s="6" t="str">
        <x:v>Sep_Oct</x:v>
      </x:c>
      <x:c r="T107" s="6" t="d">
        <x:v>2024-10-20T09:06:39.000Z</x:v>
      </x:c>
      <x:c r="U107" s="6" t="str">
        <x:v>RESEARCH_WORKSPACE/Outputs/SaSa_Section_2_2/support/browser_evidence/IG_P03_full.txt</x:v>
      </x:c>
      <x:c r="V107" s="6" t="str"/>
      <x:c r="W107" s="6" t="str">
        <x:v>effect_praise; information_request</x:v>
      </x:c>
      <x:c r="X107" s="6" t="str">
        <x:v>No expressed purchase commitment or verified purchase; information seeking and praise are not buying evidence</x:v>
      </x:c>
      <x:c r="Y107" s="7" t="b">
        <x:v>0</x:v>
      </x:c>
    </x:row>
    <x:row r="108" ht="38" customHeight="1">
      <x:c r="A108" s="6" t="str">
        <x:v>xhs_6ad06a000000000005029b95</x:v>
      </x:c>
      <x:c r="B108" s="6" t="str">
        <x:v>xhs_6aca2fd1000000001a025c97</x:v>
      </x:c>
      <x:c r="C108" s="6" t="str">
        <x:v>Xiaohongshu</x:v>
      </x:c>
      <x:c r="D108" s="6" t="str">
        <x:v>valid</x:v>
      </x:c>
      <x:c r="E108" s="6" t="str">
        <x:v>宝宝[皱眉R][皱眉R][皱眉R]求求美瞳</x:v>
      </x:c>
      <x:c r="F108" s="6" t="str"/>
      <x:c r="G108" s="6" t="str">
        <x:v>宝宝[皱眉R][皱眉R][皱眉R]求求美瞳</x:v>
      </x:c>
      <x:c r="H108" s="6" t="str">
        <x:v>Contact lenses, not a cosmetic purchase.</x:v>
      </x:c>
      <x:c r="I108" s="6" t="n">
        <x:v>0</x:v>
      </x:c>
      <x:c r="J108" s="6" t="n">
        <x:v>0</x:v>
      </x:c>
      <x:c r="K108" s="6" t="n">
        <x:v>0</x:v>
      </x:c>
      <x:c r="L108" s="6" t="n">
        <x:v>0</x:v>
      </x:c>
      <x:c r="M108" s="6" t="n">
        <x:v>0</x:v>
      </x:c>
      <x:c r="N108" s="6" t="n">
        <x:v>0</x:v>
      </x:c>
      <x:c r="O108" s="6" t="n">
        <x:v>0</x:v>
      </x:c>
      <x:c r="P108" s="6" t="n">
        <x:v>1</x:v>
      </x:c>
      <x:c r="Q108" s="6" t="str">
        <x:v>top_level</x:v>
      </x:c>
      <x:c r="R108" s="6" t="str">
        <x:v>2026</x:v>
      </x:c>
      <x:c r="S108" s="6" t="str">
        <x:v>Sep_Oct</x:v>
      </x:c>
      <x:c r="T108" s="6" t="d">
        <x:v>2026-10-15T05:52:00.000Z</x:v>
      </x:c>
      <x:c r="U108" s="6" t="str">
        <x:v>RESEARCH_WORKSPACE/ResearchTools/SaSa_Comment_Collection/data/xhs_research/comments.jsonl</x:v>
      </x:c>
      <x:c r="V108" s="6" t="str"/>
      <x:c r="W108" s="6" t="str">
        <x:v>not_reclassified</x:v>
      </x:c>
      <x:c r="X108" s="6" t="str">
        <x:v>No purchase inferred; see source review</x:v>
      </x:c>
      <x:c r="Y108" s="7" t="b">
        <x:v>0</x:v>
      </x:c>
    </x:row>
    <x:row r="109" ht="38" customHeight="1">
      <x:c r="A109" s="6" t="str">
        <x:v>xhs_6acb9d8c00000000070110cb</x:v>
      </x:c>
      <x:c r="B109" s="6" t="str">
        <x:v>xhs_6aca2fd1000000001a025c97</x:v>
      </x:c>
      <x:c r="C109" s="6" t="str">
        <x:v>Xiaohongshu</x:v>
      </x:c>
      <x:c r="D109" s="6" t="str">
        <x:v>valid</x:v>
      </x:c>
      <x:c r="E109" s="6" t="str">
        <x:v>什么美瞳呀</x:v>
      </x:c>
      <x:c r="F109" s="6" t="str"/>
      <x:c r="G109" s="6" t="str">
        <x:v>什么美瞳呀</x:v>
      </x:c>
      <x:c r="H109" s="6" t="str"/>
      <x:c r="I109" s="6" t="n">
        <x:v>0</x:v>
      </x:c>
      <x:c r="J109" s="6" t="n">
        <x:v>0</x:v>
      </x:c>
      <x:c r="K109" s="6" t="n">
        <x:v>0</x:v>
      </x:c>
      <x:c r="L109" s="6" t="n">
        <x:v>0</x:v>
      </x:c>
      <x:c r="M109" s="6" t="n">
        <x:v>0</x:v>
      </x:c>
      <x:c r="N109" s="6" t="n">
        <x:v>0</x:v>
      </x:c>
      <x:c r="O109" s="6" t="n">
        <x:v>0</x:v>
      </x:c>
      <x:c r="P109" s="6" t="n">
        <x:v>1</x:v>
      </x:c>
      <x:c r="Q109" s="6" t="str">
        <x:v>top_level</x:v>
      </x:c>
      <x:c r="R109" s="6" t="str">
        <x:v>2026</x:v>
      </x:c>
      <x:c r="S109" s="6" t="str">
        <x:v>Sep_Oct</x:v>
      </x:c>
      <x:c r="T109" s="6" t="d">
        <x:v>2026-10-11T14:30:36.000Z</x:v>
      </x:c>
      <x:c r="U109" s="6" t="str">
        <x:v>RESEARCH_WORKSPACE/ResearchTools/SaSa_Comment_Collection/data/xhs_research/comments.jsonl</x:v>
      </x:c>
      <x:c r="V109" s="6" t="str"/>
      <x:c r="W109" s="6" t="str">
        <x:v>not_reclassified</x:v>
      </x:c>
      <x:c r="X109" s="6" t="str">
        <x:v>No purchase inferred; see source review</x:v>
      </x:c>
      <x:c r="Y109" s="7" t="b">
        <x:v>0</x:v>
      </x:c>
    </x:row>
    <x:row r="110" ht="38" customHeight="1">
      <x:c r="A110" s="6" t="str">
        <x:v>xhs_6ad31ecd000000000702cfa0</x:v>
      </x:c>
      <x:c r="B110" s="6" t="str">
        <x:v>xhs_6aca2fd1000000001a025c97</x:v>
      </x:c>
      <x:c r="C110" s="6" t="str">
        <x:v>Xiaohongshu</x:v>
      </x:c>
      <x:c r="D110" s="6" t="str">
        <x:v>valid</x:v>
      </x:c>
      <x:c r="E110" s="6" t="str">
        <x:v>球眼线笔</x:v>
      </x:c>
      <x:c r="F110" s="6" t="str"/>
      <x:c r="G110" s="6" t="str">
        <x:v>球眼线笔</x:v>
      </x:c>
      <x:c r="H110" s="6" t="str">
        <x:v>球 is interpreted as 求 in this product enquiry.</x:v>
      </x:c>
      <x:c r="I110" s="6" t="n">
        <x:v>0</x:v>
      </x:c>
      <x:c r="J110" s="6" t="n">
        <x:v>0</x:v>
      </x:c>
      <x:c r="K110" s="6" t="n">
        <x:v>1</x:v>
      </x:c>
      <x:c r="L110" s="6" t="n">
        <x:v>0</x:v>
      </x:c>
      <x:c r="M110" s="6" t="n">
        <x:v>0</x:v>
      </x:c>
      <x:c r="N110" s="6" t="n">
        <x:v>0</x:v>
      </x:c>
      <x:c r="O110" s="6" t="n">
        <x:v>0</x:v>
      </x:c>
      <x:c r="P110" s="6" t="n">
        <x:v>0</x:v>
      </x:c>
      <x:c r="Q110" s="6" t="str">
        <x:v>top_level</x:v>
      </x:c>
      <x:c r="R110" s="6" t="str">
        <x:v>2026</x:v>
      </x:c>
      <x:c r="S110" s="6" t="str">
        <x:v>Sep_Oct</x:v>
      </x:c>
      <x:c r="T110" s="6" t="d">
        <x:v>2026-10-17T07:07:57.000Z</x:v>
      </x:c>
      <x:c r="U110" s="6" t="str">
        <x:v>RESEARCH_WORKSPACE/ResearchTools/SaSa_Comment_Collection/data/xhs_research/comments.jsonl</x:v>
      </x:c>
      <x:c r="V110" s="6" t="str"/>
      <x:c r="W110" s="6" t="str">
        <x:v>not_reclassified</x:v>
      </x:c>
      <x:c r="X110" s="6" t="str">
        <x:v>No purchase inferred; see source review</x:v>
      </x:c>
      <x:c r="Y110" s="7" t="b">
        <x:v>0</x:v>
      </x:c>
    </x:row>
    <x:row r="111" ht="38" customHeight="1">
      <x:c r="A111" s="6" t="str">
        <x:v>xhs_6ad1230e0000000003033eea</x:v>
      </x:c>
      <x:c r="B111" s="6" t="str">
        <x:v>xhs_6aca2fd1000000001a025c97</x:v>
      </x:c>
      <x:c r="C111" s="6" t="str">
        <x:v>Xiaohongshu</x:v>
      </x:c>
      <x:c r="D111" s="6" t="str">
        <x:v>valid</x:v>
      </x:c>
      <x:c r="E111" s="6" t="str">
        <x:v>宝宝想问问唇釉！好好看[皱眉R]</x:v>
      </x:c>
      <x:c r="F111" s="6" t="str"/>
      <x:c r="G111" s="6" t="str">
        <x:v>宝宝想问问唇釉！好好看[皱眉R]</x:v>
      </x:c>
      <x:c r="H111" s="6" t="str"/>
      <x:c r="I111" s="6" t="n">
        <x:v>1</x:v>
      </x:c>
      <x:c r="J111" s="6" t="n">
        <x:v>0</x:v>
      </x:c>
      <x:c r="K111" s="6" t="n">
        <x:v>1</x:v>
      </x:c>
      <x:c r="L111" s="6" t="n">
        <x:v>0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  <x:c r="Q111" s="6" t="str">
        <x:v>top_level</x:v>
      </x:c>
      <x:c r="R111" s="6" t="str">
        <x:v>2026</x:v>
      </x:c>
      <x:c r="S111" s="6" t="str">
        <x:v>Sep_Oct</x:v>
      </x:c>
      <x:c r="T111" s="6" t="d">
        <x:v>2026-10-15T19:01:34.000Z</x:v>
      </x:c>
      <x:c r="U111" s="6" t="str">
        <x:v>RESEARCH_WORKSPACE/ResearchTools/SaSa_Comment_Collection/data/xhs_research/comments.jsonl</x:v>
      </x:c>
      <x:c r="V111" s="6" t="str"/>
      <x:c r="W111" s="6" t="str">
        <x:v>not_reclassified</x:v>
      </x:c>
      <x:c r="X111" s="6" t="str">
        <x:v>No purchase inferred; see source review</x:v>
      </x:c>
      <x:c r="Y111" s="7" t="b">
        <x:v>0</x:v>
      </x:c>
    </x:row>
    <x:row r="112" ht="38" customHeight="1">
      <x:c r="A112" s="6" t="str">
        <x:v>xhs_6ad0c5cf000000001103c258</x:v>
      </x:c>
      <x:c r="B112" s="6" t="str">
        <x:v>xhs_6aca2fd1000000001a025c97</x:v>
      </x:c>
      <x:c r="C112" s="6" t="str">
        <x:v>Xiaohongshu</x:v>
      </x:c>
      <x:c r="D112" s="6" t="str">
        <x:v>valid</x:v>
      </x:c>
      <x:c r="E112" s="6" t="str">
        <x:v>这是什么笔</x:v>
      </x:c>
      <x:c r="F112" s="6" t="str"/>
      <x:c r="G112" s="6" t="str">
        <x:v>这是什么笔</x:v>
      </x:c>
      <x:c r="H112" s="6" t="str">
        <x:v>The comment says pen; its cosmetic category is unconfirmed without video context.</x:v>
      </x:c>
      <x:c r="I112" s="6" t="n">
        <x:v>0</x:v>
      </x:c>
      <x:c r="J112" s="6" t="n">
        <x:v>0</x:v>
      </x:c>
      <x:c r="K112" s="6" t="n">
        <x:v>0</x:v>
      </x:c>
      <x:c r="L112" s="6" t="n">
        <x:v>0</x:v>
      </x:c>
      <x:c r="M112" s="6" t="n">
        <x:v>0</x:v>
      </x:c>
      <x:c r="N112" s="6" t="n">
        <x:v>0</x:v>
      </x:c>
      <x:c r="O112" s="6" t="n">
        <x:v>0</x:v>
      </x:c>
      <x:c r="P112" s="6" t="n">
        <x:v>1</x:v>
      </x:c>
      <x:c r="Q112" s="6" t="str">
        <x:v>top_level</x:v>
      </x:c>
      <x:c r="R112" s="6" t="str">
        <x:v>2026</x:v>
      </x:c>
      <x:c r="S112" s="6" t="str">
        <x:v>Sep_Oct</x:v>
      </x:c>
      <x:c r="T112" s="6" t="d">
        <x:v>2026-10-15T12:23:44.000Z</x:v>
      </x:c>
      <x:c r="U112" s="6" t="str">
        <x:v>RESEARCH_WORKSPACE/ResearchTools/SaSa_Comment_Collection/data/xhs_research/comments.jsonl</x:v>
      </x:c>
      <x:c r="V112" s="6" t="str"/>
      <x:c r="W112" s="6" t="str">
        <x:v>not_reclassified</x:v>
      </x:c>
      <x:c r="X112" s="6" t="str">
        <x:v>No purchase inferred; see source review</x:v>
      </x:c>
      <x:c r="Y112" s="7" t="b">
        <x:v>0</x:v>
      </x:c>
    </x:row>
    <x:row r="113" ht="38" customHeight="1">
      <x:c r="A113" s="6" t="str">
        <x:v>xhs_6aca4d48000000000b003d40</x:v>
      </x:c>
      <x:c r="B113" s="6" t="str">
        <x:v>xhs_6aca2fd1000000001a025c97</x:v>
      </x:c>
      <x:c r="C113" s="6" t="str">
        <x:v>Xiaohongshu</x:v>
      </x:c>
      <x:c r="D113" s="6" t="str">
        <x:v>valid</x:v>
      </x:c>
      <x:c r="E113" s="6" t="str">
        <x:v>我天 好可爱 特别是吹气那一下[喝奶茶R][喝奶茶R][喝奶茶R]</x:v>
      </x:c>
      <x:c r="F113" s="6" t="str"/>
      <x:c r="G113" s="6" t="str">
        <x:v>我天 好可爱 特别是吹气那一下[喝奶茶R][喝奶茶R][喝奶茶R]</x:v>
      </x:c>
      <x:c r="H113" s="6" t="str">
        <x:v>Praise includes the presentation/gesture; not purchase evidence.</x:v>
      </x:c>
      <x:c r="I113" s="6" t="n">
        <x:v>1</x:v>
      </x:c>
      <x:c r="J113" s="6" t="n">
        <x:v>0</x:v>
      </x:c>
      <x:c r="K113" s="6" t="n">
        <x:v>0</x:v>
      </x:c>
      <x:c r="L113" s="6" t="n">
        <x:v>0</x:v>
      </x:c>
      <x:c r="M113" s="6" t="n">
        <x:v>0</x:v>
      </x:c>
      <x:c r="N113" s="6" t="n">
        <x:v>0</x:v>
      </x:c>
      <x:c r="O113" s="6" t="n">
        <x:v>0</x:v>
      </x:c>
      <x:c r="P113" s="6" t="n">
        <x:v>0</x:v>
      </x:c>
      <x:c r="Q113" s="6" t="str">
        <x:v>top_level</x:v>
      </x:c>
      <x:c r="R113" s="6" t="str">
        <x:v>2026</x:v>
      </x:c>
      <x:c r="S113" s="6" t="str">
        <x:v>Sep_Oct</x:v>
      </x:c>
      <x:c r="T113" s="6" t="d">
        <x:v>2026-10-10T14:35:54.000Z</x:v>
      </x:c>
      <x:c r="U113" s="6" t="str">
        <x:v>RESEARCH_WORKSPACE/ResearchTools/SaSa_Comment_Collection/data/xhs_research/comments.jsonl</x:v>
      </x:c>
      <x:c r="V113" s="6" t="str"/>
      <x:c r="W113" s="6" t="str">
        <x:v>not_reclassified</x:v>
      </x:c>
      <x:c r="X113" s="6" t="str">
        <x:v>No purchase inferred; see source review</x:v>
      </x:c>
      <x:c r="Y113" s="7" t="b">
        <x:v>0</x:v>
      </x:c>
    </x:row>
    <x:row r="114" ht="38" customHeight="1">
      <x:c r="A114" s="6" t="str">
        <x:v>xhs_6acd427a000000000502ab07</x:v>
      </x:c>
      <x:c r="B114" s="6" t="str">
        <x:v>xhs_6aca2fd1000000001a025c97</x:v>
      </x:c>
      <x:c r="C114" s="6" t="str">
        <x:v>Xiaohongshu</x:v>
      </x:c>
      <x:c r="D114" s="6" t="str">
        <x:v>valid</x:v>
      </x:c>
      <x:c r="E114" s="6" t="str">
        <x:v>是白色的眼线笔吗</x:v>
      </x:c>
      <x:c r="F114" s="6" t="str"/>
      <x:c r="G114" s="6" t="str">
        <x:v>是白色的眼线笔吗</x:v>
      </x:c>
      <x:c r="H114" s="6" t="str"/>
      <x:c r="I114" s="6" t="n">
        <x:v>0</x:v>
      </x:c>
      <x:c r="J114" s="6" t="n">
        <x:v>0</x:v>
      </x:c>
      <x:c r="K114" s="6" t="n">
        <x:v>1</x:v>
      </x:c>
      <x:c r="L114" s="6" t="n">
        <x:v>0</x:v>
      </x:c>
      <x:c r="M114" s="6" t="n">
        <x:v>0</x:v>
      </x:c>
      <x:c r="N114" s="6" t="n">
        <x:v>0</x:v>
      </x:c>
      <x:c r="O114" s="6" t="n">
        <x:v>0</x:v>
      </x:c>
      <x:c r="P114" s="6" t="n">
        <x:v>0</x:v>
      </x:c>
      <x:c r="Q114" s="6" t="str">
        <x:v>top_level</x:v>
      </x:c>
      <x:c r="R114" s="6" t="str">
        <x:v>2026</x:v>
      </x:c>
      <x:c r="S114" s="6" t="str">
        <x:v>Sep_Oct</x:v>
      </x:c>
      <x:c r="T114" s="6" t="d">
        <x:v>2026-10-12T20:26:35.000Z</x:v>
      </x:c>
      <x:c r="U114" s="6" t="str">
        <x:v>RESEARCH_WORKSPACE/ResearchTools/SaSa_Comment_Collection/data/xhs_research/comments.jsonl</x:v>
      </x:c>
      <x:c r="V114" s="6" t="str"/>
      <x:c r="W114" s="6" t="str">
        <x:v>not_reclassified</x:v>
      </x:c>
      <x:c r="X114" s="6" t="str">
        <x:v>No purchase inferred; see source review</x:v>
      </x:c>
      <x:c r="Y114" s="7" t="b">
        <x:v>0</x:v>
      </x:c>
    </x:row>
    <x:row r="115" ht="38" customHeight="1">
      <x:c r="A115" s="6" t="str">
        <x:v>xhs_6aca3052000000000702a7f3</x:v>
      </x:c>
      <x:c r="B115" s="6" t="str">
        <x:v>xhs_6aca2fd1000000001a025c97</x:v>
      </x:c>
      <x:c r="C115" s="6" t="str">
        <x:v>Xiaohongshu</x:v>
      </x:c>
      <x:c r="D115" s="6" t="str">
        <x:v>excluded</x:v>
      </x:c>
      <x:c r="E115" s="6" t="str">
        <x:v>1</x:v>
      </x:c>
      <x:c r="F115" s="6" t="str"/>
      <x:c r="G115" s="6" t="str"/>
      <x:c r="H115" s="6" t="str">
        <x:v>Bare numeral; no substantive research content.</x:v>
      </x:c>
      <x:c r="I115" s="6" t="n">
        <x:v>0</x:v>
      </x:c>
      <x:c r="J115" s="6" t="n">
        <x:v>0</x:v>
      </x:c>
      <x:c r="K115" s="6" t="n">
        <x:v>0</x:v>
      </x:c>
      <x:c r="L115" s="6" t="n">
        <x:v>0</x:v>
      </x:c>
      <x:c r="M115" s="6" t="n">
        <x:v>0</x:v>
      </x:c>
      <x:c r="N115" s="6" t="n">
        <x:v>0</x:v>
      </x:c>
      <x:c r="O115" s="6" t="n">
        <x:v>0</x:v>
      </x:c>
      <x:c r="P115" s="6" t="n">
        <x:v>0</x:v>
      </x:c>
      <x:c r="Q115" s="6" t="str">
        <x:v>top_level</x:v>
      </x:c>
      <x:c r="R115" s="6" t="str">
        <x:v>2026</x:v>
      </x:c>
      <x:c r="S115" s="6" t="str">
        <x:v>Sep_Oct</x:v>
      </x:c>
      <x:c r="T115" s="6" t="d">
        <x:v>2026-10-10T12:32:19.000Z</x:v>
      </x:c>
      <x:c r="U115" s="6" t="str">
        <x:v>RESEARCH_WORKSPACE/ResearchTools/SaSa_Comment_Collection/data/xhs_research/comments.jsonl</x:v>
      </x:c>
      <x:c r="V115" s="6" t="str"/>
      <x:c r="W115" s="6" t="str">
        <x:v>not_reclassified</x:v>
      </x:c>
      <x:c r="X115" s="6" t="str">
        <x:v>No purchase inferred; see source review</x:v>
      </x:c>
      <x:c r="Y115" s="7" t="b">
        <x:v>0</x:v>
      </x:c>
    </x:row>
    <x:row r="116" ht="38" customHeight="1">
      <x:c r="A116" s="6" t="str">
        <x:v>xhs_6ad31c48000000001001f0b5</x:v>
      </x:c>
      <x:c r="B116" s="6" t="str">
        <x:v>xhs_6aca2fd1000000001a025c97</x:v>
      </x:c>
      <x:c r="C116" s="6" t="str">
        <x:v>Xiaohongshu</x:v>
      </x:c>
      <x:c r="D116" s="6" t="str">
        <x:v>excluded</x:v>
      </x:c>
      <x:c r="E116" s="6" t="str">
        <x:v>@[anonymised]</x:v>
      </x:c>
      <x:c r="F116" s="6" t="str"/>
      <x:c r="G116" s="6" t="str"/>
      <x:c r="H116" s="6" t="str">
        <x:v>Mention only; no substantive research content. Display text is anonymised separately.</x:v>
      </x:c>
      <x:c r="I116" s="6" t="n">
        <x:v>0</x:v>
      </x:c>
      <x:c r="J116" s="6" t="n">
        <x:v>0</x:v>
      </x:c>
      <x:c r="K116" s="6" t="n">
        <x:v>0</x:v>
      </x:c>
      <x:c r="L116" s="6" t="n">
        <x:v>0</x:v>
      </x:c>
      <x:c r="M116" s="6" t="n">
        <x:v>0</x:v>
      </x:c>
      <x:c r="N116" s="6" t="n">
        <x:v>0</x:v>
      </x:c>
      <x:c r="O116" s="6" t="n">
        <x:v>0</x:v>
      </x:c>
      <x:c r="P116" s="6" t="n">
        <x:v>0</x:v>
      </x:c>
      <x:c r="Q116" s="6" t="str">
        <x:v>top_level</x:v>
      </x:c>
      <x:c r="R116" s="6" t="str">
        <x:v>2026</x:v>
      </x:c>
      <x:c r="S116" s="6" t="str">
        <x:v>Sep_Oct</x:v>
      </x:c>
      <x:c r="T116" s="6" t="d">
        <x:v>2026-10-17T06:57:13.000Z</x:v>
      </x:c>
      <x:c r="U116" s="6" t="str">
        <x:v>RESEARCH_WORKSPACE/ResearchTools/SaSa_Comment_Collection/data/xhs_research/comments.jsonl</x:v>
      </x:c>
      <x:c r="V116" s="6" t="str"/>
      <x:c r="W116" s="6" t="str">
        <x:v>not_reclassified</x:v>
      </x:c>
      <x:c r="X116" s="6" t="str">
        <x:v>No purchase inferred; see source review</x:v>
      </x:c>
      <x:c r="Y116" s="7" t="b">
        <x:v>0</x:v>
      </x:c>
    </x:row>
    <x:row r="117" ht="38" customHeight="1">
      <x:c r="A117" s="6" t="str">
        <x:v>xhs_6ad0b8e5000000000801e8dc</x:v>
      </x:c>
      <x:c r="B117" s="6" t="str">
        <x:v>xhs_6aca2fd1000000001a025c97</x:v>
      </x:c>
      <x:c r="C117" s="6" t="str">
        <x:v>Xiaohongshu</x:v>
      </x:c>
      <x:c r="D117" s="6" t="str">
        <x:v>valid</x:v>
      </x:c>
      <x:c r="E117" s="6" t="str">
        <x:v>太好看了叭</x:v>
      </x:c>
      <x:c r="F117" s="6" t="str"/>
      <x:c r="G117" s="6" t="str">
        <x:v>太好看了叭</x:v>
      </x:c>
      <x:c r="H117" s="6" t="str"/>
      <x:c r="I117" s="6" t="n">
        <x:v>1</x:v>
      </x:c>
      <x:c r="J117" s="6" t="n">
        <x:v>0</x:v>
      </x:c>
      <x:c r="K117" s="6" t="n">
        <x:v>0</x:v>
      </x:c>
      <x:c r="L117" s="6" t="n">
        <x:v>0</x:v>
      </x:c>
      <x:c r="M117" s="6" t="n">
        <x:v>0</x:v>
      </x:c>
      <x:c r="N117" s="6" t="n">
        <x:v>0</x:v>
      </x:c>
      <x:c r="O117" s="6" t="n">
        <x:v>0</x:v>
      </x:c>
      <x:c r="P117" s="6" t="n">
        <x:v>0</x:v>
      </x:c>
      <x:c r="Q117" s="6" t="str">
        <x:v>top_level</x:v>
      </x:c>
      <x:c r="R117" s="6" t="str">
        <x:v>2026</x:v>
      </x:c>
      <x:c r="S117" s="6" t="str">
        <x:v>Sep_Oct</x:v>
      </x:c>
      <x:c r="T117" s="6" t="d">
        <x:v>2026-10-15T11:28:38.000Z</x:v>
      </x:c>
      <x:c r="U117" s="6" t="str">
        <x:v>RESEARCH_WORKSPACE/ResearchTools/SaSa_Comment_Collection/data/xhs_research/comments.jsonl</x:v>
      </x:c>
      <x:c r="V117" s="6" t="str"/>
      <x:c r="W117" s="6" t="str">
        <x:v>not_reclassified</x:v>
      </x:c>
      <x:c r="X117" s="6" t="str">
        <x:v>No purchase inferred; see source review</x:v>
      </x:c>
      <x:c r="Y117" s="7" t="b">
        <x:v>0</x:v>
      </x:c>
    </x:row>
    <x:row r="118" ht="38" customHeight="1">
      <x:c r="A118" s="6" t="str">
        <x:v>xhs_6ac46b190000000008026aae</x:v>
      </x:c>
      <x:c r="B118" s="6" t="str">
        <x:v>xhs_6ac39d3b000000000d0281d0</x:v>
      </x:c>
      <x:c r="C118" s="6" t="str">
        <x:v>Xiaohongshu</x:v>
      </x:c>
      <x:c r="D118" s="6" t="str">
        <x:v>valid</x:v>
      </x:c>
      <x:c r="E118" s="6" t="str">
        <x:v>好厉害老大，请问想做类似斩首的效果有没有教程呢</x:v>
      </x:c>
      <x:c r="F118" s="6" t="str"/>
      <x:c r="G118" s="6" t="str">
        <x:v>好厉害老大，请问想做类似斩首的效果有没有教程呢</x:v>
      </x:c>
      <x:c r="H118" s="6" t="str"/>
      <x:c r="I118" s="6" t="n">
        <x:v>1</x:v>
      </x:c>
      <x:c r="J118" s="6" t="n">
        <x:v>1</x:v>
      </x:c>
      <x:c r="K118" s="6" t="n">
        <x:v>0</x:v>
      </x:c>
      <x:c r="L118" s="6" t="n">
        <x:v>0</x:v>
      </x:c>
      <x:c r="M118" s="6" t="n">
        <x:v>0</x:v>
      </x:c>
      <x:c r="N118" s="6" t="n">
        <x:v>0</x:v>
      </x:c>
      <x:c r="O118" s="6" t="n">
        <x:v>0</x:v>
      </x:c>
      <x:c r="P118" s="6" t="n">
        <x:v>0</x:v>
      </x:c>
      <x:c r="Q118" s="6" t="str">
        <x:v>top_level</x:v>
      </x:c>
      <x:c r="R118" s="6" t="str">
        <x:v>2026</x:v>
      </x:c>
      <x:c r="S118" s="6" t="str">
        <x:v>Sep_Oct</x:v>
      </x:c>
      <x:c r="T118" s="6" t="d">
        <x:v>2026-10-06T03:29:29.000Z</x:v>
      </x:c>
      <x:c r="U118" s="6" t="str">
        <x:v>RESEARCH_WORKSPACE/ResearchTools/SaSa_Comment_Collection/data/xhs_research/comments.jsonl</x:v>
      </x:c>
      <x:c r="V118" s="6" t="str"/>
      <x:c r="W118" s="6" t="str">
        <x:v>not_reclassified</x:v>
      </x:c>
      <x:c r="X118" s="6" t="str">
        <x:v>No purchase inferred; see source review</x:v>
      </x:c>
      <x:c r="Y118" s="7" t="b">
        <x:v>0</x:v>
      </x:c>
    </x:row>
    <x:row r="119" ht="38" customHeight="1">
      <x:c r="A119" s="6" t="str">
        <x:v>xhs_6acee8890000000007012c23</x:v>
      </x:c>
      <x:c r="B119" s="6" t="str">
        <x:v>xhs_6ac39d3b000000000d0281d0</x:v>
      </x:c>
      <x:c r="C119" s="6" t="str">
        <x:v>Xiaohongshu</x:v>
      </x:c>
      <x:c r="D119" s="6" t="str">
        <x:v>valid</x:v>
      </x:c>
      <x:c r="E119" s="6" t="str">
        <x:v>老大！[飞吻R]卸掉这个妆怎么卸呀？直接撕下来吗，会不会很疼啊🥺</x:v>
      </x:c>
      <x:c r="F119" s="6" t="str"/>
      <x:c r="G119" s="6" t="str">
        <x:v>老大！[飞吻R]卸掉这个妆怎么卸呀？直接撕下来吗，会不会很疼啊🥺</x:v>
      </x:c>
      <x:c r="H119" s="6" t="str">
        <x:v>A removal/pain concern, not evidence the product causes pain.</x:v>
      </x:c>
      <x:c r="I119" s="6" t="n">
        <x:v>0</x:v>
      </x:c>
      <x:c r="J119" s="6" t="n">
        <x:v>1</x:v>
      </x:c>
      <x:c r="K119" s="6" t="n">
        <x:v>0</x:v>
      </x:c>
      <x:c r="L119" s="6" t="n">
        <x:v>0</x:v>
      </x:c>
      <x:c r="M119" s="6" t="n">
        <x:v>0</x:v>
      </x:c>
      <x:c r="N119" s="6" t="n">
        <x:v>0</x:v>
      </x:c>
      <x:c r="O119" s="6" t="n">
        <x:v>0</x:v>
      </x:c>
      <x:c r="P119" s="6" t="n">
        <x:v>1</x:v>
      </x:c>
      <x:c r="Q119" s="6" t="str">
        <x:v>top_level</x:v>
      </x:c>
      <x:c r="R119" s="6" t="str">
        <x:v>2026</x:v>
      </x:c>
      <x:c r="S119" s="6" t="str">
        <x:v>Sep_Oct</x:v>
      </x:c>
      <x:c r="T119" s="6" t="d">
        <x:v>2026-10-14T02:27:21.000Z</x:v>
      </x:c>
      <x:c r="U119" s="6" t="str">
        <x:v>RESEARCH_WORKSPACE/ResearchTools/SaSa_Comment_Collection/data/xhs_research/comments.jsonl</x:v>
      </x:c>
      <x:c r="V119" s="6" t="str"/>
      <x:c r="W119" s="6" t="str">
        <x:v>not_reclassified</x:v>
      </x:c>
      <x:c r="X119" s="6" t="str">
        <x:v>No purchase inferred; see source review</x:v>
      </x:c>
      <x:c r="Y119" s="7" t="b">
        <x:v>0</x:v>
      </x:c>
    </x:row>
    <x:row r="120" ht="38" customHeight="1">
      <x:c r="A120" s="6" t="str">
        <x:v>xhs_6ac531b1000000000801d5ab</x:v>
      </x:c>
      <x:c r="B120" s="6" t="str">
        <x:v>xhs_6ac39d3b000000000d0281d0</x:v>
      </x:c>
      <x:c r="C120" s="6" t="str">
        <x:v>Xiaohongshu</x:v>
      </x:c>
      <x:c r="D120" s="6" t="str">
        <x:v>valid</x:v>
      </x:c>
      <x:c r="E120" s="6" t="str">
        <x:v>老师用的什么液体乳胶啊</x:v>
      </x:c>
      <x:c r="F120" s="6" t="str"/>
      <x:c r="G120" s="6" t="str">
        <x:v>老师用的什么液体乳胶啊</x:v>
      </x:c>
      <x:c r="H120" s="6" t="str">
        <x:v>Liquid latex material enquiry; separate from conventional cosmetic/shade questions.</x:v>
      </x:c>
      <x:c r="I120" s="6" t="n">
        <x:v>0</x:v>
      </x:c>
      <x:c r="J120" s="6" t="n">
        <x:v>0</x:v>
      </x:c>
      <x:c r="K120" s="6" t="n">
        <x:v>0</x:v>
      </x:c>
      <x:c r="L120" s="6" t="n">
        <x:v>0</x:v>
      </x:c>
      <x:c r="M120" s="6" t="n">
        <x:v>0</x:v>
      </x:c>
      <x:c r="N120" s="6" t="n">
        <x:v>0</x:v>
      </x:c>
      <x:c r="O120" s="6" t="n">
        <x:v>0</x:v>
      </x:c>
      <x:c r="P120" s="6" t="n">
        <x:v>1</x:v>
      </x:c>
      <x:c r="Q120" s="6" t="str">
        <x:v>top_level</x:v>
      </x:c>
      <x:c r="R120" s="6" t="str">
        <x:v>2026</x:v>
      </x:c>
      <x:c r="S120" s="6" t="str">
        <x:v>Sep_Oct</x:v>
      </x:c>
      <x:c r="T120" s="6" t="d">
        <x:v>2026-10-06T17:36:49.000Z</x:v>
      </x:c>
      <x:c r="U120" s="6" t="str">
        <x:v>RESEARCH_WORKSPACE/ResearchTools/SaSa_Comment_Collection/data/xhs_research/comments.jsonl</x:v>
      </x:c>
      <x:c r="V120" s="6" t="str"/>
      <x:c r="W120" s="6" t="str">
        <x:v>not_reclassified</x:v>
      </x:c>
      <x:c r="X120" s="6" t="str">
        <x:v>No purchase inferred; see source review</x:v>
      </x:c>
      <x:c r="Y120" s="7" t="b">
        <x:v>0</x:v>
      </x:c>
    </x:row>
    <x:row r="121" ht="38" customHeight="1">
      <x:c r="A121" s="6" t="str">
        <x:v>xhs_6acb930b000000000b002669</x:v>
      </x:c>
      <x:c r="B121" s="6" t="str">
        <x:v>xhs_6ac39d3b000000000d0281d0</x:v>
      </x:c>
      <x:c r="C121" s="6" t="str">
        <x:v>Xiaohongshu</x:v>
      </x:c>
      <x:c r="D121" s="6" t="str">
        <x:v>valid</x:v>
      </x:c>
      <x:c r="E121" s="6" t="str">
        <x:v>太强了吧</x:v>
      </x:c>
      <x:c r="F121" s="6" t="str"/>
      <x:c r="G121" s="6" t="str">
        <x:v>太强了吧</x:v>
      </x:c>
      <x:c r="H121" s="6" t="str"/>
      <x:c r="I121" s="6" t="n">
        <x:v>1</x:v>
      </x:c>
      <x:c r="J121" s="6" t="n">
        <x:v>0</x:v>
      </x:c>
      <x:c r="K121" s="6" t="n">
        <x:v>0</x:v>
      </x:c>
      <x:c r="L121" s="6" t="n">
        <x:v>0</x:v>
      </x:c>
      <x:c r="M121" s="6" t="n">
        <x:v>0</x:v>
      </x:c>
      <x:c r="N121" s="6" t="n">
        <x:v>0</x:v>
      </x:c>
      <x:c r="O121" s="6" t="n">
        <x:v>0</x:v>
      </x:c>
      <x:c r="P121" s="6" t="n">
        <x:v>0</x:v>
      </x:c>
      <x:c r="Q121" s="6" t="str">
        <x:v>top_level</x:v>
      </x:c>
      <x:c r="R121" s="6" t="str">
        <x:v>2026</x:v>
      </x:c>
      <x:c r="S121" s="6" t="str">
        <x:v>Sep_Oct</x:v>
      </x:c>
      <x:c r="T121" s="6" t="d">
        <x:v>2026-10-11T13:45:48.000Z</x:v>
      </x:c>
      <x:c r="U121" s="6" t="str">
        <x:v>RESEARCH_WORKSPACE/ResearchTools/SaSa_Comment_Collection/data/xhs_research/comments.jsonl</x:v>
      </x:c>
      <x:c r="V121" s="6" t="str"/>
      <x:c r="W121" s="6" t="str">
        <x:v>not_reclassified</x:v>
      </x:c>
      <x:c r="X121" s="6" t="str">
        <x:v>No purchase inferred; see source review</x:v>
      </x:c>
      <x:c r="Y121" s="7" t="b">
        <x:v>0</x:v>
      </x:c>
    </x:row>
    <x:row r="122" ht="38" customHeight="1">
      <x:c r="A122" s="6" t="str">
        <x:v>xhs_6ace1ccb000000000800021f</x:v>
      </x:c>
      <x:c r="B122" s="6" t="str">
        <x:v>xhs_6ac39d3b000000000d0281d0</x:v>
      </x:c>
      <x:c r="C122" s="6" t="str">
        <x:v>Xiaohongshu</x:v>
      </x:c>
      <x:c r="D122" s="6" t="str">
        <x:v>valid</x:v>
      </x:c>
      <x:c r="E122" s="6" t="str">
        <x:v>感谢老师分享</x:v>
      </x:c>
      <x:c r="F122" s="6" t="str"/>
      <x:c r="G122" s="6" t="str">
        <x:v>感谢老师分享</x:v>
      </x:c>
      <x:c r="H122" s="6" t="str">
        <x:v>On-topic thanks; does not demonstrate learning, purchase, or a specific unmet need.</x:v>
      </x:c>
      <x:c r="I122" s="6" t="n">
        <x:v>0</x:v>
      </x:c>
      <x:c r="J122" s="6" t="n">
        <x:v>0</x:v>
      </x:c>
      <x:c r="K122" s="6" t="n">
        <x:v>0</x:v>
      </x:c>
      <x:c r="L122" s="6" t="n">
        <x:v>0</x:v>
      </x:c>
      <x:c r="M122" s="6" t="n">
        <x:v>0</x:v>
      </x:c>
      <x:c r="N122" s="6" t="n">
        <x:v>0</x:v>
      </x:c>
      <x:c r="O122" s="6" t="n">
        <x:v>0</x:v>
      </x:c>
      <x:c r="P122" s="6" t="n">
        <x:v>0</x:v>
      </x:c>
      <x:c r="Q122" s="6" t="str">
        <x:v>top_level</x:v>
      </x:c>
      <x:c r="R122" s="6" t="str">
        <x:v>2026</x:v>
      </x:c>
      <x:c r="S122" s="6" t="str">
        <x:v>Sep_Oct</x:v>
      </x:c>
      <x:c r="T122" s="6" t="d">
        <x:v>2026-10-13T11:58:03.000Z</x:v>
      </x:c>
      <x:c r="U122" s="6" t="str">
        <x:v>RESEARCH_WORKSPACE/ResearchTools/SaSa_Comment_Collection/data/xhs_research/comments.jsonl</x:v>
      </x:c>
      <x:c r="V122" s="6" t="str"/>
      <x:c r="W122" s="6" t="str">
        <x:v>not_reclassified</x:v>
      </x:c>
      <x:c r="X122" s="6" t="str">
        <x:v>No purchase inferred; see source review</x:v>
      </x:c>
      <x:c r="Y122" s="7" t="b">
        <x:v>0</x:v>
      </x:c>
    </x:row>
    <x:row r="123" ht="38" customHeight="1">
      <x:c r="A123" s="6" t="str">
        <x:v>xhs_6ac443430000000011036cf3</x:v>
      </x:c>
      <x:c r="B123" s="6" t="str">
        <x:v>xhs_6ac39d3b000000000d0281d0</x:v>
      </x:c>
      <x:c r="C123" s="6" t="str">
        <x:v>Xiaohongshu</x:v>
      </x:c>
      <x:c r="D123" s="6" t="str">
        <x:v>valid</x:v>
      </x:c>
      <x:c r="E123" s="6" t="str">
        <x:v>太牛了，不打钉子那里已经是断手的感觉了，好牛！</x:v>
      </x:c>
      <x:c r="F123" s="6" t="str"/>
      <x:c r="G123" s="6" t="str">
        <x:v>太牛了，不打钉子那里已经是断手的感觉了，好牛！</x:v>
      </x:c>
      <x:c r="H123" s="6" t="str"/>
      <x:c r="I123" s="6" t="n">
        <x:v>1</x:v>
      </x:c>
      <x:c r="J123" s="6" t="n">
        <x:v>0</x:v>
      </x:c>
      <x:c r="K123" s="6" t="n">
        <x:v>0</x:v>
      </x:c>
      <x:c r="L123" s="6" t="n">
        <x:v>0</x:v>
      </x:c>
      <x:c r="M123" s="6" t="n">
        <x:v>0</x:v>
      </x:c>
      <x:c r="N123" s="6" t="n">
        <x:v>0</x:v>
      </x:c>
      <x:c r="O123" s="6" t="n">
        <x:v>0</x:v>
      </x:c>
      <x:c r="P123" s="6" t="n">
        <x:v>0</x:v>
      </x:c>
      <x:c r="Q123" s="6" t="str">
        <x:v>top_level</x:v>
      </x:c>
      <x:c r="R123" s="6" t="str">
        <x:v>2026</x:v>
      </x:c>
      <x:c r="S123" s="6" t="str">
        <x:v>Sep_Oct</x:v>
      </x:c>
      <x:c r="T123" s="6" t="d">
        <x:v>2026-10-06T00:39:31.000Z</x:v>
      </x:c>
      <x:c r="U123" s="6" t="str">
        <x:v>RESEARCH_WORKSPACE/ResearchTools/SaSa_Comment_Collection/data/xhs_research/comments.jsonl</x:v>
      </x:c>
      <x:c r="V123" s="6" t="str"/>
      <x:c r="W123" s="6" t="str">
        <x:v>not_reclassified</x:v>
      </x:c>
      <x:c r="X123" s="6" t="str">
        <x:v>No purchase inferred; see source review</x:v>
      </x:c>
      <x:c r="Y123" s="7" t="b">
        <x:v>0</x:v>
      </x:c>
    </x:row>
    <x:row r="124" ht="38" customHeight="1">
      <x:c r="A124" s="6" t="str">
        <x:v>xhs_6ac4949e00000000110327e2</x:v>
      </x:c>
      <x:c r="B124" s="6" t="str">
        <x:v>xhs_6ac39d3b000000000d0281d0</x:v>
      </x:c>
      <x:c r="C124" s="6" t="str">
        <x:v>Xiaohongshu</x:v>
      </x:c>
      <x:c r="D124" s="6" t="str">
        <x:v>valid</x:v>
      </x:c>
      <x:c r="E124" s="6" t="str">
        <x:v>太强了老师！[棒R][棒R]效果好逼真！</x:v>
      </x:c>
      <x:c r="F124" s="6" t="str"/>
      <x:c r="G124" s="6" t="str">
        <x:v>太强了老师！[棒R][棒R]效果好逼真！</x:v>
      </x:c>
      <x:c r="H124" s="6" t="str"/>
      <x:c r="I124" s="6" t="n">
        <x:v>1</x:v>
      </x:c>
      <x:c r="J124" s="6" t="n">
        <x:v>0</x:v>
      </x:c>
      <x:c r="K124" s="6" t="n">
        <x:v>0</x:v>
      </x:c>
      <x:c r="L124" s="6" t="n">
        <x:v>0</x:v>
      </x:c>
      <x:c r="M124" s="6" t="n">
        <x:v>0</x:v>
      </x:c>
      <x:c r="N124" s="6" t="n">
        <x:v>0</x:v>
      </x:c>
      <x:c r="O124" s="6" t="n">
        <x:v>0</x:v>
      </x:c>
      <x:c r="P124" s="6" t="n">
        <x:v>0</x:v>
      </x:c>
      <x:c r="Q124" s="6" t="str">
        <x:v>top_level</x:v>
      </x:c>
      <x:c r="R124" s="6" t="str">
        <x:v>2026</x:v>
      </x:c>
      <x:c r="S124" s="6" t="str">
        <x:v>Sep_Oct</x:v>
      </x:c>
      <x:c r="T124" s="6" t="d">
        <x:v>2026-10-06T06:26:39.000Z</x:v>
      </x:c>
      <x:c r="U124" s="6" t="str">
        <x:v>RESEARCH_WORKSPACE/ResearchTools/SaSa_Comment_Collection/data/xhs_research/comments.jsonl</x:v>
      </x:c>
      <x:c r="V124" s="6" t="str"/>
      <x:c r="W124" s="6" t="str">
        <x:v>not_reclassified</x:v>
      </x:c>
      <x:c r="X124" s="6" t="str">
        <x:v>No purchase inferred; see source review</x:v>
      </x:c>
      <x:c r="Y124" s="7" t="b">
        <x:v>0</x:v>
      </x:c>
    </x:row>
    <x:row r="125" ht="38" customHeight="1">
      <x:c r="A125" s="6" t="str">
        <x:v>xhs_6ac473ae000000000303274b</x:v>
      </x:c>
      <x:c r="B125" s="6" t="str">
        <x:v>xhs_6ac39d3b000000000d0281d0</x:v>
      </x:c>
      <x:c r="C125" s="6" t="str">
        <x:v>Xiaohongshu</x:v>
      </x:c>
      <x:c r="D125" s="6" t="str">
        <x:v>valid</x:v>
      </x:c>
      <x:c r="E125" s="6" t="str">
        <x:v>太牛了感谢老师分享！</x:v>
      </x:c>
      <x:c r="F125" s="6" t="str"/>
      <x:c r="G125" s="6" t="str">
        <x:v>太牛了感谢老师分享！</x:v>
      </x:c>
      <x:c r="H125" s="6" t="str"/>
      <x:c r="I125" s="6" t="n">
        <x:v>1</x:v>
      </x:c>
      <x:c r="J125" s="6" t="n">
        <x:v>0</x:v>
      </x:c>
      <x:c r="K125" s="6" t="n">
        <x:v>0</x:v>
      </x:c>
      <x:c r="L125" s="6" t="n">
        <x:v>0</x:v>
      </x:c>
      <x:c r="M125" s="6" t="n">
        <x:v>0</x:v>
      </x:c>
      <x:c r="N125" s="6" t="n">
        <x:v>0</x:v>
      </x:c>
      <x:c r="O125" s="6" t="n">
        <x:v>0</x:v>
      </x:c>
      <x:c r="P125" s="6" t="n">
        <x:v>0</x:v>
      </x:c>
      <x:c r="Q125" s="6" t="str">
        <x:v>top_level</x:v>
      </x:c>
      <x:c r="R125" s="6" t="str">
        <x:v>2026</x:v>
      </x:c>
      <x:c r="S125" s="6" t="str">
        <x:v>Sep_Oct</x:v>
      </x:c>
      <x:c r="T125" s="6" t="d">
        <x:v>2026-10-06T04:06:07.000Z</x:v>
      </x:c>
      <x:c r="U125" s="6" t="str">
        <x:v>RESEARCH_WORKSPACE/ResearchTools/SaSa_Comment_Collection/data/xhs_research/comments.jsonl</x:v>
      </x:c>
      <x:c r="V125" s="6" t="str"/>
      <x:c r="W125" s="6" t="str">
        <x:v>not_reclassified</x:v>
      </x:c>
      <x:c r="X125" s="6" t="str">
        <x:v>No purchase inferred; see source review</x:v>
      </x:c>
      <x:c r="Y125" s="7" t="b">
        <x:v>0</x:v>
      </x:c>
    </x:row>
    <x:row r="126" ht="52" customHeight="1">
      <x:c r="A126" s="6" t="str">
        <x:v>xhs_6ac531e80000000007029627</x:v>
      </x:c>
      <x:c r="B126" s="6" t="str">
        <x:v>xhs_6ac39d3b000000000d0281d0</x:v>
      </x:c>
      <x:c r="C126" s="6" t="str">
        <x:v>Xiaohongshu</x:v>
      </x:c>
      <x:c r="D126" s="6" t="str">
        <x:v>valid</x:v>
      </x:c>
      <x:c r="E126" s="6" t="str">
        <x:v>老师用的什么液体乳胶啊</x:v>
      </x:c>
      <x:c r="F126" s="6" t="str"/>
      <x:c r="G126" s="6" t="str">
        <x:v>老师用的什么液体乳胶啊</x:v>
      </x:c>
      <x:c r="H126" s="6" t="str">
        <x:v>Same author/text as position 3, 55 seconds later, with a different source comment ID. Retained as a separate posting, flagged in sensitivity analysis.</x:v>
      </x:c>
      <x:c r="I126" s="6" t="n">
        <x:v>0</x:v>
      </x:c>
      <x:c r="J126" s="6" t="n">
        <x:v>0</x:v>
      </x:c>
      <x:c r="K126" s="6" t="n">
        <x:v>0</x:v>
      </x:c>
      <x:c r="L126" s="6" t="n">
        <x:v>0</x:v>
      </x:c>
      <x:c r="M126" s="6" t="n">
        <x:v>0</x:v>
      </x:c>
      <x:c r="N126" s="6" t="n">
        <x:v>0</x:v>
      </x:c>
      <x:c r="O126" s="6" t="n">
        <x:v>0</x:v>
      </x:c>
      <x:c r="P126" s="6" t="n">
        <x:v>1</x:v>
      </x:c>
      <x:c r="Q126" s="6" t="str">
        <x:v>top_level</x:v>
      </x:c>
      <x:c r="R126" s="6" t="str">
        <x:v>2026</x:v>
      </x:c>
      <x:c r="S126" s="6" t="str">
        <x:v>Sep_Oct</x:v>
      </x:c>
      <x:c r="T126" s="6" t="d">
        <x:v>2026-10-06T17:37:44.000Z</x:v>
      </x:c>
      <x:c r="U126" s="6" t="str">
        <x:v>RESEARCH_WORKSPACE/ResearchTools/SaSa_Comment_Collection/data/xhs_research/comments.jsonl</x:v>
      </x:c>
      <x:c r="V126" s="6" t="str"/>
      <x:c r="W126" s="6" t="str">
        <x:v>not_reclassified</x:v>
      </x:c>
      <x:c r="X126" s="6" t="str">
        <x:v>No purchase inferred; see source review</x:v>
      </x:c>
      <x:c r="Y126" s="7" t="b">
        <x:v>1</x:v>
      </x:c>
    </x:row>
    <x:row r="127" ht="38" customHeight="1">
      <x:c r="A127" s="6" t="str">
        <x:v>xhs_6ac4a348000000000d0259eb</x:v>
      </x:c>
      <x:c r="B127" s="6" t="str">
        <x:v>xhs_6ac39d3b000000000d0281d0</x:v>
      </x:c>
      <x:c r="C127" s="6" t="str">
        <x:v>Xiaohongshu</x:v>
      </x:c>
      <x:c r="D127" s="6" t="str">
        <x:v>valid</x:v>
      </x:c>
      <x:c r="E127" s="6" t="str">
        <x:v>我的妈呀太强了。。幻痛啊。。</x:v>
      </x:c>
      <x:c r="F127" s="6" t="str"/>
      <x:c r="G127" s="6" t="str">
        <x:v>我的妈呀太强了。。幻痛啊。。</x:v>
      </x:c>
      <x:c r="H127" s="6" t="str">
        <x:v>Phantom-pain reaction is praise of a visual effect, not a report of product injury.</x:v>
      </x:c>
      <x:c r="I127" s="6" t="n">
        <x:v>1</x:v>
      </x:c>
      <x:c r="J127" s="6" t="n">
        <x:v>0</x:v>
      </x:c>
      <x:c r="K127" s="6" t="n">
        <x:v>0</x:v>
      </x:c>
      <x:c r="L127" s="6" t="n">
        <x:v>0</x:v>
      </x:c>
      <x:c r="M127" s="6" t="n">
        <x:v>0</x:v>
      </x:c>
      <x:c r="N127" s="6" t="n">
        <x:v>0</x:v>
      </x:c>
      <x:c r="O127" s="6" t="n">
        <x:v>0</x:v>
      </x:c>
      <x:c r="P127" s="6" t="n">
        <x:v>0</x:v>
      </x:c>
      <x:c r="Q127" s="6" t="str">
        <x:v>top_level</x:v>
      </x:c>
      <x:c r="R127" s="6" t="str">
        <x:v>2026</x:v>
      </x:c>
      <x:c r="S127" s="6" t="str">
        <x:v>Sep_Oct</x:v>
      </x:c>
      <x:c r="T127" s="6" t="d">
        <x:v>2026-10-06T07:29:13.000Z</x:v>
      </x:c>
      <x:c r="U127" s="6" t="str">
        <x:v>RESEARCH_WORKSPACE/ResearchTools/SaSa_Comment_Collection/data/xhs_research/comments.jsonl</x:v>
      </x:c>
      <x:c r="V127" s="6" t="str"/>
      <x:c r="W127" s="6" t="str">
        <x:v>not_reclassified</x:v>
      </x:c>
      <x:c r="X127" s="6" t="str">
        <x:v>No purchase inferred; see source review</x:v>
      </x:c>
      <x:c r="Y127" s="7" t="b">
        <x:v>0</x:v>
      </x:c>
    </x:row>
    <x:row r="128" ht="38" customHeight="1">
      <x:c r="A128" s="6" t="str">
        <x:v>xhs_6ac44d45000000001103edeb</x:v>
      </x:c>
      <x:c r="B128" s="6" t="str">
        <x:v>xhs_6ac39d3b000000000d0281d0</x:v>
      </x:c>
      <x:c r="C128" s="6" t="str">
        <x:v>Xiaohongshu</x:v>
      </x:c>
      <x:c r="D128" s="6" t="str">
        <x:v>valid</x:v>
      </x:c>
      <x:c r="E128" s="6" t="str">
        <x:v>真的被吓到了，太强了</x:v>
      </x:c>
      <x:c r="F128" s="6" t="str"/>
      <x:c r="G128" s="6" t="str">
        <x:v>真的被吓到了，太强了</x:v>
      </x:c>
      <x:c r="H128" s="6" t="str">
        <x:v>Frightening is complimentary in this Halloween context.</x:v>
      </x:c>
      <x:c r="I128" s="6" t="n">
        <x:v>1</x:v>
      </x:c>
      <x:c r="J128" s="6" t="n">
        <x:v>0</x:v>
      </x:c>
      <x:c r="K128" s="6" t="n">
        <x:v>0</x:v>
      </x:c>
      <x:c r="L128" s="6" t="n">
        <x:v>0</x:v>
      </x:c>
      <x:c r="M128" s="6" t="n">
        <x:v>0</x:v>
      </x:c>
      <x:c r="N128" s="6" t="n">
        <x:v>0</x:v>
      </x:c>
      <x:c r="O128" s="6" t="n">
        <x:v>0</x:v>
      </x:c>
      <x:c r="P128" s="6" t="n">
        <x:v>0</x:v>
      </x:c>
      <x:c r="Q128" s="6" t="str">
        <x:v>top_level</x:v>
      </x:c>
      <x:c r="R128" s="6" t="str">
        <x:v>2026</x:v>
      </x:c>
      <x:c r="S128" s="6" t="str">
        <x:v>Sep_Oct</x:v>
      </x:c>
      <x:c r="T128" s="6" t="d">
        <x:v>2026-10-06T01:22:13.000Z</x:v>
      </x:c>
      <x:c r="U128" s="6" t="str">
        <x:v>RESEARCH_WORKSPACE/ResearchTools/SaSa_Comment_Collection/data/xhs_research/comments.jsonl</x:v>
      </x:c>
      <x:c r="V128" s="6" t="str"/>
      <x:c r="W128" s="6" t="str">
        <x:v>not_reclassified</x:v>
      </x:c>
      <x:c r="X128" s="6" t="str">
        <x:v>No purchase inferred; see source review</x:v>
      </x:c>
      <x:c r="Y128" s="7" t="b">
        <x:v>0</x:v>
      </x:c>
    </x:row>
    <x:row r="129" ht="38" customHeight="1">
      <x:c r="A129" s="6" t="str">
        <x:v>xhs_6ac4f92800000000080320d2</x:v>
      </x:c>
      <x:c r="B129" s="6" t="str">
        <x:v>xhs_6ac39d3b000000000d0281d0</x:v>
      </x:c>
      <x:c r="C129" s="6" t="str">
        <x:v>Xiaohongshu</x:v>
      </x:c>
      <x:c r="D129" s="6" t="str">
        <x:v>valid</x:v>
      </x:c>
      <x:c r="E129" s="6" t="str">
        <x:v>首页刷到就觉得是伊森结果真是啊啊啊</x:v>
      </x:c>
      <x:c r="F129" s="6" t="str"/>
      <x:c r="G129" s="6" t="str">
        <x:v>首页刷到就觉得是伊森结果真是啊啊啊</x:v>
      </x:c>
      <x:c r="H129" s="6" t="str"/>
      <x:c r="I129" s="6" t="n">
        <x:v>1</x:v>
      </x:c>
      <x:c r="J129" s="6" t="n">
        <x:v>0</x:v>
      </x:c>
      <x:c r="K129" s="6" t="n">
        <x:v>0</x:v>
      </x:c>
      <x:c r="L129" s="6" t="n">
        <x:v>0</x:v>
      </x:c>
      <x:c r="M129" s="6" t="n">
        <x:v>0</x:v>
      </x:c>
      <x:c r="N129" s="6" t="n">
        <x:v>0</x:v>
      </x:c>
      <x:c r="O129" s="6" t="n">
        <x:v>0</x:v>
      </x:c>
      <x:c r="P129" s="6" t="n">
        <x:v>0</x:v>
      </x:c>
      <x:c r="Q129" s="6" t="str">
        <x:v>top_level</x:v>
      </x:c>
      <x:c r="R129" s="6" t="str">
        <x:v>2026</x:v>
      </x:c>
      <x:c r="S129" s="6" t="str">
        <x:v>Sep_Oct</x:v>
      </x:c>
      <x:c r="T129" s="6" t="d">
        <x:v>2026-10-06T13:35:36.000Z</x:v>
      </x:c>
      <x:c r="U129" s="6" t="str">
        <x:v>RESEARCH_WORKSPACE/ResearchTools/SaSa_Comment_Collection/data/xhs_research/comments.jsonl</x:v>
      </x:c>
      <x:c r="V129" s="6" t="str"/>
      <x:c r="W129" s="6" t="str">
        <x:v>not_reclassified</x:v>
      </x:c>
      <x:c r="X129" s="6" t="str">
        <x:v>No purchase inferred; see source review</x:v>
      </x:c>
      <x:c r="Y129" s="7" t="b">
        <x:v>0</x:v>
      </x:c>
    </x:row>
    <x:row r="130" ht="38" customHeight="1">
      <x:c r="A130" s="6" t="str">
        <x:v>xhs_6ac747a3000000000801f9f7</x:v>
      </x:c>
      <x:c r="B130" s="6" t="str">
        <x:v>xhs_6ac39d3b000000000d0281d0</x:v>
      </x:c>
      <x:c r="C130" s="6" t="str">
        <x:v>Xiaohongshu</x:v>
      </x:c>
      <x:c r="D130" s="6" t="str">
        <x:v>valid</x:v>
      </x:c>
      <x:c r="E130" s="6" t="str">
        <x:v>看得我呲牙咧嘴的[捂脸R][捂脸R]技术真好，幻痛了</x:v>
      </x:c>
      <x:c r="F130" s="6" t="str"/>
      <x:c r="G130" s="6" t="str">
        <x:v>看得我呲牙咧嘴的[捂脸R][捂脸R]技术真好，幻痛了</x:v>
      </x:c>
      <x:c r="H130" s="6" t="str"/>
      <x:c r="I130" s="6" t="n">
        <x:v>1</x:v>
      </x:c>
      <x:c r="J130" s="6" t="n">
        <x:v>0</x:v>
      </x:c>
      <x:c r="K130" s="6" t="n">
        <x:v>0</x:v>
      </x:c>
      <x:c r="L130" s="6" t="n">
        <x:v>0</x:v>
      </x:c>
      <x:c r="M130" s="6" t="n">
        <x:v>0</x:v>
      </x:c>
      <x:c r="N130" s="6" t="n">
        <x:v>0</x:v>
      </x:c>
      <x:c r="O130" s="6" t="n">
        <x:v>0</x:v>
      </x:c>
      <x:c r="P130" s="6" t="n">
        <x:v>0</x:v>
      </x:c>
      <x:c r="Q130" s="6" t="str">
        <x:v>top_level</x:v>
      </x:c>
      <x:c r="R130" s="6" t="str">
        <x:v>2026</x:v>
      </x:c>
      <x:c r="S130" s="6" t="str">
        <x:v>Sep_Oct</x:v>
      </x:c>
      <x:c r="T130" s="6" t="d">
        <x:v>2026-10-08T07:35:00.000Z</x:v>
      </x:c>
      <x:c r="U130" s="6" t="str">
        <x:v>RESEARCH_WORKSPACE/ResearchTools/SaSa_Comment_Collection/data/xhs_research/comments.jsonl</x:v>
      </x:c>
      <x:c r="V130" s="6" t="str"/>
      <x:c r="W130" s="6" t="str">
        <x:v>not_reclassified</x:v>
      </x:c>
      <x:c r="X130" s="6" t="str">
        <x:v>No purchase inferred; see source review</x:v>
      </x:c>
      <x:c r="Y130" s="7" t="b">
        <x:v>0</x:v>
      </x:c>
    </x:row>
    <x:row r="131" ht="38" customHeight="1">
      <x:c r="A131" s="6" t="str">
        <x:v>xhs_6ac47f7b0000000007034fea</x:v>
      </x:c>
      <x:c r="B131" s="6" t="str">
        <x:v>xhs_6ac39d3b000000000d0281d0</x:v>
      </x:c>
      <x:c r="C131" s="6" t="str">
        <x:v>Xiaohongshu</x:v>
      </x:c>
      <x:c r="D131" s="6" t="str">
        <x:v>valid</x:v>
      </x:c>
      <x:c r="E131" s="6" t="str">
        <x:v>好牛，在洗手液战神手上好有恐怖的味道[黄金薯R]</x:v>
      </x:c>
      <x:c r="F131" s="6" t="str"/>
      <x:c r="G131" s="6" t="str">
        <x:v>好牛，在洗手液战神手上好有恐怖的味道[黄金薯R]</x:v>
      </x:c>
      <x:c r="H131" s="6" t="str"/>
      <x:c r="I131" s="6" t="n">
        <x:v>1</x:v>
      </x:c>
      <x:c r="J131" s="6" t="n">
        <x:v>0</x:v>
      </x:c>
      <x:c r="K131" s="6" t="n">
        <x:v>0</x:v>
      </x:c>
      <x:c r="L131" s="6" t="n">
        <x:v>0</x:v>
      </x:c>
      <x:c r="M131" s="6" t="n">
        <x:v>0</x:v>
      </x:c>
      <x:c r="N131" s="6" t="n">
        <x:v>0</x:v>
      </x:c>
      <x:c r="O131" s="6" t="n">
        <x:v>0</x:v>
      </x:c>
      <x:c r="P131" s="6" t="n">
        <x:v>0</x:v>
      </x:c>
      <x:c r="Q131" s="6" t="str">
        <x:v>top_level</x:v>
      </x:c>
      <x:c r="R131" s="6" t="str">
        <x:v>2026</x:v>
      </x:c>
      <x:c r="S131" s="6" t="str">
        <x:v>Sep_Oct</x:v>
      </x:c>
      <x:c r="T131" s="6" t="d">
        <x:v>2026-10-06T04:56:28.000Z</x:v>
      </x:c>
      <x:c r="U131" s="6" t="str">
        <x:v>RESEARCH_WORKSPACE/ResearchTools/SaSa_Comment_Collection/data/xhs_research/comments.jsonl</x:v>
      </x:c>
      <x:c r="V131" s="6" t="str"/>
      <x:c r="W131" s="6" t="str">
        <x:v>not_reclassified</x:v>
      </x:c>
      <x:c r="X131" s="6" t="str">
        <x:v>No purchase inferred; see source review</x:v>
      </x:c>
      <x:c r="Y131" s="7" t="b">
        <x:v>0</x:v>
      </x:c>
    </x:row>
    <x:row r="132" ht="38" customHeight="1">
      <x:c r="A132" s="6" t="str">
        <x:v>xhs_6ac9a2e2000000000703615e</x:v>
      </x:c>
      <x:c r="B132" s="6" t="str">
        <x:v>xhs_6ac39d3b000000000d0281d0</x:v>
      </x:c>
      <x:c r="C132" s="6" t="str">
        <x:v>Xiaohongshu</x:v>
      </x:c>
      <x:c r="D132" s="6" t="str">
        <x:v>valid</x:v>
      </x:c>
      <x:c r="E132" s="6" t="str">
        <x:v>想给我女儿画脖子上，我和她都好喜欢这些诡异的东西[笑哭R]</x:v>
      </x:c>
      <x:c r="F132" s="6" t="str"/>
      <x:c r="G132" s="6" t="str">
        <x:v>想给我女儿画脖子上，我和她都好喜欢这些诡异的东西[笑哭R]</x:v>
      </x:c>
      <x:c r="H132" s="6" t="str">
        <x:v>One wish to apply a look to a daughter; no purchase commitment or verified demand for paid children's services.</x:v>
      </x:c>
      <x:c r="I132" s="6" t="n">
        <x:v>1</x:v>
      </x:c>
      <x:c r="J132" s="6" t="n">
        <x:v>0</x:v>
      </x:c>
      <x:c r="K132" s="6" t="n">
        <x:v>0</x:v>
      </x:c>
      <x:c r="L132" s="6" t="n">
        <x:v>0</x:v>
      </x:c>
      <x:c r="M132" s="6" t="n">
        <x:v>0</x:v>
      </x:c>
      <x:c r="N132" s="6" t="n">
        <x:v>0</x:v>
      </x:c>
      <x:c r="O132" s="6" t="n">
        <x:v>0</x:v>
      </x:c>
      <x:c r="P132" s="6" t="n">
        <x:v>1</x:v>
      </x:c>
      <x:c r="Q132" s="6" t="str">
        <x:v>top_level</x:v>
      </x:c>
      <x:c r="R132" s="6" t="str">
        <x:v>2026</x:v>
      </x:c>
      <x:c r="S132" s="6" t="str">
        <x:v>Sep_Oct</x:v>
      </x:c>
      <x:c r="T132" s="6" t="d">
        <x:v>2026-10-10T02:28:50.000Z</x:v>
      </x:c>
      <x:c r="U132" s="6" t="str">
        <x:v>RESEARCH_WORKSPACE/ResearchTools/SaSa_Comment_Collection/data/xhs_research/comments.jsonl</x:v>
      </x:c>
      <x:c r="V132" s="6" t="str"/>
      <x:c r="W132" s="6" t="str">
        <x:v>not_reclassified</x:v>
      </x:c>
      <x:c r="X132" s="6" t="str">
        <x:v>No purchase inferred; see source review</x:v>
      </x:c>
      <x:c r="Y132" s="7" t="b">
        <x:v>0</x:v>
      </x:c>
    </x:row>
    <x:row r="133" ht="38" customHeight="1">
      <x:c r="A133" s="6" t="str">
        <x:v>xhs_6ad5cb73000000001400209c</x:v>
      </x:c>
      <x:c r="B133" s="6" t="str">
        <x:v>xhs_6ad34887000000001801bdc1</x:v>
      </x:c>
      <x:c r="C133" s="6" t="str">
        <x:v>Xiaohongshu</x:v>
      </x:c>
      <x:c r="D133" s="6" t="str">
        <x:v>valid</x:v>
      </x:c>
      <x:c r="E133" s="6" t="str">
        <x:v>美女第二盘偏黑色的腮红 有链接吗</x:v>
      </x:c>
      <x:c r="F133" s="6" t="str"/>
      <x:c r="G133" s="6" t="str">
        <x:v>美女第二盘偏黑色的腮红 有链接吗</x:v>
      </x:c>
      <x:c r="H133" s="6" t="str">
        <x:v>Asking for a link is sourcing information, not an explicit commitment to buy.</x:v>
      </x:c>
      <x:c r="I133" s="6" t="n">
        <x:v>0</x:v>
      </x:c>
      <x:c r="J133" s="6" t="n">
        <x:v>0</x:v>
      </x:c>
      <x:c r="K133" s="6" t="n">
        <x:v>1</x:v>
      </x:c>
      <x:c r="L133" s="6" t="n">
        <x:v>0</x:v>
      </x:c>
      <x:c r="M133" s="6" t="n">
        <x:v>0</x:v>
      </x:c>
      <x:c r="N133" s="6" t="n">
        <x:v>0</x:v>
      </x:c>
      <x:c r="O133" s="6" t="n">
        <x:v>1</x:v>
      </x:c>
      <x:c r="P133" s="6" t="n">
        <x:v>0</x:v>
      </x:c>
      <x:c r="Q133" s="6" t="str">
        <x:v>top_level</x:v>
      </x:c>
      <x:c r="R133" s="6" t="str">
        <x:v>2026</x:v>
      </x:c>
      <x:c r="S133" s="6" t="str">
        <x:v>Sep_Oct</x:v>
      </x:c>
      <x:c r="T133" s="6" t="d">
        <x:v>2026-10-19T07:49:07.000Z</x:v>
      </x:c>
      <x:c r="U133" s="6" t="str">
        <x:v>RESEARCH_WORKSPACE/ResearchTools/SaSa_Comment_Collection/data/xhs_research/comments.jsonl</x:v>
      </x:c>
      <x:c r="V133" s="6" t="str"/>
      <x:c r="W133" s="6" t="str">
        <x:v>not_reclassified</x:v>
      </x:c>
      <x:c r="X133" s="6" t="str">
        <x:v>No purchase inferred; see source review</x:v>
      </x:c>
      <x:c r="Y133" s="7" t="b">
        <x:v>0</x:v>
      </x:c>
    </x:row>
    <x:row r="134" ht="38" customHeight="1">
      <x:c r="A134" s="6" t="str">
        <x:v>xhs_6ad4b3910000000008012cd7</x:v>
      </x:c>
      <x:c r="B134" s="6" t="str">
        <x:v>xhs_6ad34887000000001801bdc1</x:v>
      </x:c>
      <x:c r="C134" s="6" t="str">
        <x:v>Xiaohongshu</x:v>
      </x:c>
      <x:c r="D134" s="6" t="str">
        <x:v>valid</x:v>
      </x:c>
      <x:c r="E134" s="6" t="str">
        <x:v>学到了</x:v>
      </x:c>
      <x:c r="F134" s="6" t="str"/>
      <x:c r="G134" s="6" t="str">
        <x:v>学到了</x:v>
      </x:c>
      <x:c r="H134" s="6" t="str">
        <x:v>Self-reported learning, without a verified recreation or purchase.</x:v>
      </x:c>
      <x:c r="I134" s="6" t="n">
        <x:v>0</x:v>
      </x:c>
      <x:c r="J134" s="6" t="n">
        <x:v>1</x:v>
      </x:c>
      <x:c r="K134" s="6" t="n">
        <x:v>0</x:v>
      </x:c>
      <x:c r="L134" s="6" t="n">
        <x:v>0</x:v>
      </x:c>
      <x:c r="M134" s="6" t="n">
        <x:v>0</x:v>
      </x:c>
      <x:c r="N134" s="6" t="n">
        <x:v>0</x:v>
      </x:c>
      <x:c r="O134" s="6" t="n">
        <x:v>0</x:v>
      </x:c>
      <x:c r="P134" s="6" t="n">
        <x:v>0</x:v>
      </x:c>
      <x:c r="Q134" s="6" t="str">
        <x:v>top_level</x:v>
      </x:c>
      <x:c r="R134" s="6" t="str">
        <x:v>2026</x:v>
      </x:c>
      <x:c r="S134" s="6" t="str">
        <x:v>Sep_Oct</x:v>
      </x:c>
      <x:c r="T134" s="6" t="d">
        <x:v>2026-10-18T11:54:57.000Z</x:v>
      </x:c>
      <x:c r="U134" s="6" t="str">
        <x:v>RESEARCH_WORKSPACE/ResearchTools/SaSa_Comment_Collection/data/xhs_research/comments.jsonl</x:v>
      </x:c>
      <x:c r="V134" s="6" t="str"/>
      <x:c r="W134" s="6" t="str">
        <x:v>not_reclassified</x:v>
      </x:c>
      <x:c r="X134" s="6" t="str">
        <x:v>No purchase inferred; see source review</x:v>
      </x:c>
      <x:c r="Y134" s="7" t="b">
        <x:v>0</x:v>
      </x:c>
    </x:row>
    <x:row r="135" ht="38" customHeight="1">
      <x:c r="A135" s="6" t="str">
        <x:v>xhs_6aba7d2a000000001103db82</x:v>
      </x:c>
      <x:c r="B135" s="6" t="str">
        <x:v>xhs_6aba764c000000001b01c08b</x:v>
      </x:c>
      <x:c r="C135" s="6" t="str">
        <x:v>Xiaohongshu</x:v>
      </x:c>
      <x:c r="D135" s="6" t="str">
        <x:v>unclear</x:v>
      </x:c>
      <x:c r="E135" s="6" t="str">
        <x:v>我就说这个眼镜框...怎么这么眼熟</x:v>
      </x:c>
      <x:c r="F135" s="6" t="str"/>
      <x:c r="G135" s="6" t="str"/>
      <x:c r="H135" s="6" t="str">
        <x:v>Familiar-looking glasses; insufficient context to identify the reference or a makeup need.</x:v>
      </x:c>
      <x:c r="I135" s="6" t="n">
        <x:v>0</x:v>
      </x:c>
      <x:c r="J135" s="6" t="n">
        <x:v>0</x:v>
      </x:c>
      <x:c r="K135" s="6" t="n">
        <x:v>0</x:v>
      </x:c>
      <x:c r="L135" s="6" t="n">
        <x:v>0</x:v>
      </x:c>
      <x:c r="M135" s="6" t="n">
        <x:v>0</x:v>
      </x:c>
      <x:c r="N135" s="6" t="n">
        <x:v>0</x:v>
      </x:c>
      <x:c r="O135" s="6" t="n">
        <x:v>0</x:v>
      </x:c>
      <x:c r="P135" s="6" t="n">
        <x:v>0</x:v>
      </x:c>
      <x:c r="Q135" s="6" t="str">
        <x:v>top_level</x:v>
      </x:c>
      <x:c r="R135" s="6" t="str">
        <x:v>2026</x:v>
      </x:c>
      <x:c r="S135" s="6" t="str">
        <x:v>Sep_Oct</x:v>
      </x:c>
      <x:c r="T135" s="6" t="d">
        <x:v>2026-09-28T14:43:54.000Z</x:v>
      </x:c>
      <x:c r="U135" s="6" t="str">
        <x:v>RESEARCH_WORKSPACE/ResearchTools/SaSa_Comment_Collection/data/xhs_research/comments.jsonl</x:v>
      </x:c>
      <x:c r="V135" s="6" t="str"/>
      <x:c r="W135" s="6" t="str">
        <x:v>not_reclassified</x:v>
      </x:c>
      <x:c r="X135" s="6" t="str">
        <x:v>No purchase inferred; see source review</x:v>
      </x:c>
      <x:c r="Y135" s="7" t="b">
        <x:v>0</x:v>
      </x:c>
    </x:row>
    <x:row r="136" ht="38" customHeight="1">
      <x:c r="A136" s="6" t="str">
        <x:v>xhs_6aba77440000000006013137</x:v>
      </x:c>
      <x:c r="B136" s="6" t="str">
        <x:v>xhs_6aba764c000000001b01c08b</x:v>
      </x:c>
      <x:c r="C136" s="6" t="str">
        <x:v>Xiaohongshu</x:v>
      </x:c>
      <x:c r="D136" s="6" t="str">
        <x:v>valid</x:v>
      </x:c>
      <x:c r="E136" s="6" t="str">
        <x:v>这么高质为何不火[色色R]</x:v>
      </x:c>
      <x:c r="F136" s="6" t="str"/>
      <x:c r="G136" s="6" t="str">
        <x:v>这么高质为何不火[色色R]</x:v>
      </x:c>
      <x:c r="H136" s="6" t="str"/>
      <x:c r="I136" s="6" t="n">
        <x:v>1</x:v>
      </x:c>
      <x:c r="J136" s="6" t="n">
        <x:v>0</x:v>
      </x:c>
      <x:c r="K136" s="6" t="n">
        <x:v>0</x:v>
      </x:c>
      <x:c r="L136" s="6" t="n">
        <x:v>0</x:v>
      </x:c>
      <x:c r="M136" s="6" t="n">
        <x:v>0</x:v>
      </x:c>
      <x:c r="N136" s="6" t="n">
        <x:v>0</x:v>
      </x:c>
      <x:c r="O136" s="6" t="n">
        <x:v>0</x:v>
      </x:c>
      <x:c r="P136" s="6" t="n">
        <x:v>0</x:v>
      </x:c>
      <x:c r="Q136" s="6" t="str">
        <x:v>top_level</x:v>
      </x:c>
      <x:c r="R136" s="6" t="str">
        <x:v>2026</x:v>
      </x:c>
      <x:c r="S136" s="6" t="str">
        <x:v>Sep_Oct</x:v>
      </x:c>
      <x:c r="T136" s="6" t="d">
        <x:v>2026-09-28T14:18:46.000Z</x:v>
      </x:c>
      <x:c r="U136" s="6" t="str">
        <x:v>RESEARCH_WORKSPACE/ResearchTools/SaSa_Comment_Collection/data/xhs_research/comments.jsonl</x:v>
      </x:c>
      <x:c r="V136" s="6" t="str"/>
      <x:c r="W136" s="6" t="str">
        <x:v>not_reclassified</x:v>
      </x:c>
      <x:c r="X136" s="6" t="str">
        <x:v>No purchase inferred; see source review</x:v>
      </x:c>
      <x:c r="Y136" s="7" t="b">
        <x:v>0</x:v>
      </x:c>
    </x:row>
    <x:row r="137" ht="38" customHeight="1">
      <x:c r="A137" s="6" t="str">
        <x:v>xhs_6abeff79000000000702d467</x:v>
      </x:c>
      <x:c r="B137" s="6" t="str">
        <x:v>xhs_6aba764c000000001b01c08b</x:v>
      </x:c>
      <x:c r="C137" s="6" t="str">
        <x:v>Xiaohongshu</x:v>
      </x:c>
      <x:c r="D137" s="6" t="str">
        <x:v>valid</x:v>
      </x:c>
      <x:c r="E137" s="6" t="str">
        <x:v>我寻思咋亚当自己出妆教了..[回招呼]</x:v>
      </x:c>
      <x:c r="F137" s="6" t="str"/>
      <x:c r="G137" s="6" t="str">
        <x:v>我寻思咋亚当自己出妆教了..[回招呼]</x:v>
      </x:c>
      <x:c r="H137" s="6" t="str"/>
      <x:c r="I137" s="6" t="n">
        <x:v>1</x:v>
      </x:c>
      <x:c r="J137" s="6" t="n">
        <x:v>0</x:v>
      </x:c>
      <x:c r="K137" s="6" t="n">
        <x:v>0</x:v>
      </x:c>
      <x:c r="L137" s="6" t="n">
        <x:v>0</x:v>
      </x:c>
      <x:c r="M137" s="6" t="n">
        <x:v>0</x:v>
      </x:c>
      <x:c r="N137" s="6" t="n">
        <x:v>0</x:v>
      </x:c>
      <x:c r="O137" s="6" t="n">
        <x:v>0</x:v>
      </x:c>
      <x:c r="P137" s="6" t="n">
        <x:v>0</x:v>
      </x:c>
      <x:c r="Q137" s="6" t="str">
        <x:v>top_level</x:v>
      </x:c>
      <x:c r="R137" s="6" t="str">
        <x:v>2026</x:v>
      </x:c>
      <x:c r="S137" s="6" t="str">
        <x:v>Sep_Oct</x:v>
      </x:c>
      <x:c r="T137" s="6" t="d">
        <x:v>2026-10-02T00:48:57.000Z</x:v>
      </x:c>
      <x:c r="U137" s="6" t="str">
        <x:v>RESEARCH_WORKSPACE/ResearchTools/SaSa_Comment_Collection/data/xhs_research/comments.jsonl</x:v>
      </x:c>
      <x:c r="V137" s="6" t="str"/>
      <x:c r="W137" s="6" t="str">
        <x:v>not_reclassified</x:v>
      </x:c>
      <x:c r="X137" s="6" t="str">
        <x:v>No purchase inferred; see source review</x:v>
      </x:c>
      <x:c r="Y137" s="7" t="b">
        <x:v>0</x:v>
      </x:c>
    </x:row>
    <x:row r="138" ht="52" customHeight="1">
      <x:c r="A138" s="6" t="str">
        <x:v>xhs_6aba9a97000000001103f795</x:v>
      </x:c>
      <x:c r="B138" s="6" t="str">
        <x:v>xhs_6aba764c000000001b01c08b</x:v>
      </x:c>
      <x:c r="C138" s="6" t="str">
        <x:v>Xiaohongshu</x:v>
      </x:c>
      <x:c r="D138" s="6" t="str">
        <x:v>valid</x:v>
      </x:c>
      <x:c r="E138" s="6" t="str">
        <x:v>粘一下眉毛天黑了</x:v>
      </x:c>
      <x:c r="F138" s="6" t="str"/>
      <x:c r="G138" s="6" t="str">
        <x:v>粘一下眉毛天黑了</x:v>
      </x:c>
      <x:c r="H138" s="6" t="str">
        <x:v>A joke about it becoming dark while gluing brows. Signals attention to a step/time, not measured duration or confirmed consumer burden.</x:v>
      </x:c>
      <x:c r="I138" s="6" t="n">
        <x:v>0</x:v>
      </x:c>
      <x:c r="J138" s="6" t="n">
        <x:v>1</x:v>
      </x:c>
      <x:c r="K138" s="6" t="n">
        <x:v>0</x:v>
      </x:c>
      <x:c r="L138" s="6" t="n">
        <x:v>0</x:v>
      </x:c>
      <x:c r="M138" s="6" t="n">
        <x:v>0</x:v>
      </x:c>
      <x:c r="N138" s="6" t="n">
        <x:v>0</x:v>
      </x:c>
      <x:c r="O138" s="6" t="n">
        <x:v>0</x:v>
      </x:c>
      <x:c r="P138" s="6" t="n">
        <x:v>0</x:v>
      </x:c>
      <x:c r="Q138" s="6" t="str">
        <x:v>top_level</x:v>
      </x:c>
      <x:c r="R138" s="6" t="str">
        <x:v>2026</x:v>
      </x:c>
      <x:c r="S138" s="6" t="str">
        <x:v>Sep_Oct</x:v>
      </x:c>
      <x:c r="T138" s="6" t="d">
        <x:v>2026-09-28T16:49:29.000Z</x:v>
      </x:c>
      <x:c r="U138" s="6" t="str">
        <x:v>RESEARCH_WORKSPACE/ResearchTools/SaSa_Comment_Collection/data/xhs_research/comments.jsonl</x:v>
      </x:c>
      <x:c r="V138" s="6" t="str"/>
      <x:c r="W138" s="6" t="str">
        <x:v>not_reclassified</x:v>
      </x:c>
      <x:c r="X138" s="6" t="str">
        <x:v>No purchase inferred; see source review</x:v>
      </x:c>
      <x:c r="Y138" s="7" t="b">
        <x:v>0</x:v>
      </x:c>
    </x:row>
    <x:row r="139" ht="38" customHeight="1">
      <x:c r="A139" s="6" t="str">
        <x:v>xhs_6abd0ddf00000000110375d8</x:v>
      </x:c>
      <x:c r="B139" s="6" t="str">
        <x:v>xhs_6aba764c000000001b01c08b</x:v>
      </x:c>
      <x:c r="C139" s="6" t="str">
        <x:v>Xiaohongshu</x:v>
      </x:c>
      <x:c r="D139" s="6" t="str">
        <x:v>unclear</x:v>
      </x:c>
      <x:c r="E139" s="6" t="str">
        <x:v>撕咬空气吗 有点意思</x:v>
      </x:c>
      <x:c r="F139" s="6" t="str"/>
      <x:c r="G139" s="6" t="str"/>
      <x:c r="H139" s="6" t="str">
        <x:v>Performance-related remark; its relevance to makeup cannot be established.</x:v>
      </x:c>
      <x:c r="I139" s="6" t="n">
        <x:v>0</x:v>
      </x:c>
      <x:c r="J139" s="6" t="n">
        <x:v>0</x:v>
      </x:c>
      <x:c r="K139" s="6" t="n">
        <x:v>0</x:v>
      </x:c>
      <x:c r="L139" s="6" t="n">
        <x:v>0</x:v>
      </x:c>
      <x:c r="M139" s="6" t="n">
        <x:v>0</x:v>
      </x:c>
      <x:c r="N139" s="6" t="n">
        <x:v>0</x:v>
      </x:c>
      <x:c r="O139" s="6" t="n">
        <x:v>0</x:v>
      </x:c>
      <x:c r="P139" s="6" t="n">
        <x:v>0</x:v>
      </x:c>
      <x:c r="Q139" s="6" t="str">
        <x:v>top_level</x:v>
      </x:c>
      <x:c r="R139" s="6" t="str">
        <x:v>2026</x:v>
      </x:c>
      <x:c r="S139" s="6" t="str">
        <x:v>Sep_Oct</x:v>
      </x:c>
      <x:c r="T139" s="6" t="d">
        <x:v>2026-09-30T13:25:51.000Z</x:v>
      </x:c>
      <x:c r="U139" s="6" t="str">
        <x:v>RESEARCH_WORKSPACE/ResearchTools/SaSa_Comment_Collection/data/xhs_research/comments.jsonl</x:v>
      </x:c>
      <x:c r="V139" s="6" t="str"/>
      <x:c r="W139" s="6" t="str">
        <x:v>not_reclassified</x:v>
      </x:c>
      <x:c r="X139" s="6" t="str">
        <x:v>No purchase inferred; see source review</x:v>
      </x:c>
      <x:c r="Y139" s="7" t="b">
        <x:v>0</x:v>
      </x:c>
    </x:row>
    <x:row r="140" ht="38" customHeight="1">
      <x:c r="A140" s="6" t="str">
        <x:v>xhs_6aba7ecf000000000502aaf9</x:v>
      </x:c>
      <x:c r="B140" s="6" t="str">
        <x:v>xhs_6aba764c000000001b01c08b</x:v>
      </x:c>
      <x:c r="C140" s="6" t="str">
        <x:v>Xiaohongshu</x:v>
      </x:c>
      <x:c r="D140" s="6" t="str">
        <x:v>valid</x:v>
      </x:c>
      <x:c r="E140" s="6" t="str">
        <x:v>好牛</x:v>
      </x:c>
      <x:c r="F140" s="6" t="str"/>
      <x:c r="G140" s="6" t="str">
        <x:v>好牛</x:v>
      </x:c>
      <x:c r="H140" s="6" t="str"/>
      <x:c r="I140" s="6" t="n">
        <x:v>1</x:v>
      </x:c>
      <x:c r="J140" s="6" t="n">
        <x:v>0</x:v>
      </x:c>
      <x:c r="K140" s="6" t="n">
        <x:v>0</x:v>
      </x:c>
      <x:c r="L140" s="6" t="n">
        <x:v>0</x:v>
      </x:c>
      <x:c r="M140" s="6" t="n">
        <x:v>0</x:v>
      </x:c>
      <x:c r="N140" s="6" t="n">
        <x:v>0</x:v>
      </x:c>
      <x:c r="O140" s="6" t="n">
        <x:v>0</x:v>
      </x:c>
      <x:c r="P140" s="6" t="n">
        <x:v>0</x:v>
      </x:c>
      <x:c r="Q140" s="6" t="str">
        <x:v>top_level</x:v>
      </x:c>
      <x:c r="R140" s="6" t="str">
        <x:v>2026</x:v>
      </x:c>
      <x:c r="S140" s="6" t="str">
        <x:v>Sep_Oct</x:v>
      </x:c>
      <x:c r="T140" s="6" t="d">
        <x:v>2026-09-28T14:50:56.000Z</x:v>
      </x:c>
      <x:c r="U140" s="6" t="str">
        <x:v>RESEARCH_WORKSPACE/ResearchTools/SaSa_Comment_Collection/data/xhs_research/comments.jsonl</x:v>
      </x:c>
      <x:c r="V140" s="6" t="str"/>
      <x:c r="W140" s="6" t="str">
        <x:v>not_reclassified</x:v>
      </x:c>
      <x:c r="X140" s="6" t="str">
        <x:v>No purchase inferred; see source review</x:v>
      </x:c>
      <x:c r="Y140" s="7" t="b">
        <x:v>0</x:v>
      </x:c>
    </x:row>
    <x:row r="141" ht="38" customHeight="1">
      <x:c r="A141" s="6" t="str">
        <x:v>xhs_6abba51d000000000803704c</x:v>
      </x:c>
      <x:c r="B141" s="6" t="str">
        <x:v>xhs_6aba764c000000001b01c08b</x:v>
      </x:c>
      <x:c r="C141" s="6" t="str">
        <x:v>Xiaohongshu</x:v>
      </x:c>
      <x:c r="D141" s="6" t="str">
        <x:v>valid</x:v>
      </x:c>
      <x:c r="E141" s="6" t="str">
        <x:v>亚当本人来了</x:v>
      </x:c>
      <x:c r="F141" s="6" t="str"/>
      <x:c r="G141" s="6" t="str">
        <x:v>亚当本人来了</x:v>
      </x:c>
      <x:c r="H141" s="6" t="str"/>
      <x:c r="I141" s="6" t="n">
        <x:v>1</x:v>
      </x:c>
      <x:c r="J141" s="6" t="n">
        <x:v>0</x:v>
      </x:c>
      <x:c r="K141" s="6" t="n">
        <x:v>0</x:v>
      </x:c>
      <x:c r="L141" s="6" t="n">
        <x:v>0</x:v>
      </x:c>
      <x:c r="M141" s="6" t="n">
        <x:v>0</x:v>
      </x:c>
      <x:c r="N141" s="6" t="n">
        <x:v>0</x:v>
      </x:c>
      <x:c r="O141" s="6" t="n">
        <x:v>0</x:v>
      </x:c>
      <x:c r="P141" s="6" t="n">
        <x:v>0</x:v>
      </x:c>
      <x:c r="Q141" s="6" t="str">
        <x:v>top_level</x:v>
      </x:c>
      <x:c r="R141" s="6" t="str">
        <x:v>2026</x:v>
      </x:c>
      <x:c r="S141" s="6" t="str">
        <x:v>Sep_Oct</x:v>
      </x:c>
      <x:c r="T141" s="6" t="d">
        <x:v>2026-09-29T11:46:38.000Z</x:v>
      </x:c>
      <x:c r="U141" s="6" t="str">
        <x:v>RESEARCH_WORKSPACE/ResearchTools/SaSa_Comment_Collection/data/xhs_research/comments.jsonl</x:v>
      </x:c>
      <x:c r="V141" s="6" t="str"/>
      <x:c r="W141" s="6" t="str">
        <x:v>not_reclassified</x:v>
      </x:c>
      <x:c r="X141" s="6" t="str">
        <x:v>No purchase inferred; see source review</x:v>
      </x:c>
      <x:c r="Y141" s="7" t="b">
        <x:v>0</x:v>
      </x:c>
    </x:row>
    <x:row r="142" ht="38" customHeight="1">
      <x:c r="A142" s="6" t="str">
        <x:v>xhs_6aba904b000000001200391d</x:v>
      </x:c>
      <x:c r="B142" s="6" t="str">
        <x:v>xhs_6aba764c000000001b01c08b</x:v>
      </x:c>
      <x:c r="C142" s="6" t="str">
        <x:v>Xiaohongshu</x:v>
      </x:c>
      <x:c r="D142" s="6" t="str">
        <x:v>valid</x:v>
      </x:c>
      <x:c r="E142" s="6" t="str">
        <x:v>看完了，手在哪里领</x:v>
      </x:c>
      <x:c r="F142" s="6" t="str"/>
      <x:c r="G142" s="6" t="str">
        <x:v>看完了，手在哪里领</x:v>
      </x:c>
      <x:c r="H142" s="6" t="str">
        <x:v>Where can I get the hands is a skill-related joke, not a literal product request.</x:v>
      </x:c>
      <x:c r="I142" s="6" t="n">
        <x:v>0</x:v>
      </x:c>
      <x:c r="J142" s="6" t="n">
        <x:v>1</x:v>
      </x:c>
      <x:c r="K142" s="6" t="n">
        <x:v>0</x:v>
      </x:c>
      <x:c r="L142" s="6" t="n">
        <x:v>0</x:v>
      </x:c>
      <x:c r="M142" s="6" t="n">
        <x:v>0</x:v>
      </x:c>
      <x:c r="N142" s="6" t="n">
        <x:v>0</x:v>
      </x:c>
      <x:c r="O142" s="6" t="n">
        <x:v>0</x:v>
      </x:c>
      <x:c r="P142" s="6" t="n">
        <x:v>0</x:v>
      </x:c>
      <x:c r="Q142" s="6" t="str">
        <x:v>top_level</x:v>
      </x:c>
      <x:c r="R142" s="6" t="str">
        <x:v>2026</x:v>
      </x:c>
      <x:c r="S142" s="6" t="str">
        <x:v>Sep_Oct</x:v>
      </x:c>
      <x:c r="T142" s="6" t="d">
        <x:v>2026-09-28T16:05:32.000Z</x:v>
      </x:c>
      <x:c r="U142" s="6" t="str">
        <x:v>RESEARCH_WORKSPACE/ResearchTools/SaSa_Comment_Collection/data/xhs_research/comments.jsonl</x:v>
      </x:c>
      <x:c r="V142" s="6" t="str"/>
      <x:c r="W142" s="6" t="str">
        <x:v>not_reclassified</x:v>
      </x:c>
      <x:c r="X142" s="6" t="str">
        <x:v>No purchase inferred; see source review</x:v>
      </x:c>
      <x:c r="Y142" s="7" t="b">
        <x:v>0</x:v>
      </x:c>
    </x:row>
    <x:row r="143" ht="38" customHeight="1">
      <x:c r="A143" s="6" t="str">
        <x:v>xhs_6aba8fec000000001103c9b4</x:v>
      </x:c>
      <x:c r="B143" s="6" t="str">
        <x:v>xhs_6aba764c000000001b01c08b</x:v>
      </x:c>
      <x:c r="C143" s="6" t="str">
        <x:v>Xiaohongshu</x:v>
      </x:c>
      <x:c r="D143" s="6" t="str">
        <x:v>unclear</x:v>
      </x:c>
      <x:c r="E143" s="6" t="str">
        <x:v>又来了</x:v>
      </x:c>
      <x:c r="F143" s="6" t="str"/>
      <x:c r="G143" s="6" t="str"/>
      <x:c r="H143" s="6" t="str">
        <x:v>Again lacks a clear referent or interpretable stance.</x:v>
      </x:c>
      <x:c r="I143" s="6" t="n">
        <x:v>0</x:v>
      </x:c>
      <x:c r="J143" s="6" t="n">
        <x:v>0</x:v>
      </x:c>
      <x:c r="K143" s="6" t="n">
        <x:v>0</x:v>
      </x:c>
      <x:c r="L143" s="6" t="n">
        <x:v>0</x:v>
      </x:c>
      <x:c r="M143" s="6" t="n">
        <x:v>0</x:v>
      </x:c>
      <x:c r="N143" s="6" t="n">
        <x:v>0</x:v>
      </x:c>
      <x:c r="O143" s="6" t="n">
        <x:v>0</x:v>
      </x:c>
      <x:c r="P143" s="6" t="n">
        <x:v>0</x:v>
      </x:c>
      <x:c r="Q143" s="6" t="str">
        <x:v>top_level</x:v>
      </x:c>
      <x:c r="R143" s="6" t="str">
        <x:v>2026</x:v>
      </x:c>
      <x:c r="S143" s="6" t="str">
        <x:v>Sep_Oct</x:v>
      </x:c>
      <x:c r="T143" s="6" t="d">
        <x:v>2026-09-28T16:03:57.000Z</x:v>
      </x:c>
      <x:c r="U143" s="6" t="str">
        <x:v>RESEARCH_WORKSPACE/ResearchTools/SaSa_Comment_Collection/data/xhs_research/comments.jsonl</x:v>
      </x:c>
      <x:c r="V143" s="6" t="str"/>
      <x:c r="W143" s="6" t="str">
        <x:v>not_reclassified</x:v>
      </x:c>
      <x:c r="X143" s="6" t="str">
        <x:v>No purchase inferred; see source review</x:v>
      </x:c>
      <x:c r="Y143" s="7" t="b">
        <x:v>0</x:v>
      </x:c>
    </x:row>
    <x:row r="144" ht="38" customHeight="1">
      <x:c r="A144" s="6" t="str">
        <x:v>xhs_6abdf627000000001001f680</x:v>
      </x:c>
      <x:c r="B144" s="6" t="str">
        <x:v>xhs_6aba764c000000001b01c08b</x:v>
      </x:c>
      <x:c r="C144" s="6" t="str">
        <x:v>Xiaohongshu</x:v>
      </x:c>
      <x:c r="D144" s="6" t="str">
        <x:v>unclear</x:v>
      </x:c>
      <x:c r="E144" s="6" t="str">
        <x:v>能cos嘛</x:v>
      </x:c>
      <x:c r="F144" s="6" t="str"/>
      <x:c r="G144" s="6" t="str"/>
      <x:c r="H144" s="6" t="str">
        <x:v>能cos嘛 does not specify the intended role or whether this is a request to the creator or for permission.</x:v>
      </x:c>
      <x:c r="I144" s="6" t="n">
        <x:v>0</x:v>
      </x:c>
      <x:c r="J144" s="6" t="n">
        <x:v>0</x:v>
      </x:c>
      <x:c r="K144" s="6" t="n">
        <x:v>0</x:v>
      </x:c>
      <x:c r="L144" s="6" t="n">
        <x:v>0</x:v>
      </x:c>
      <x:c r="M144" s="6" t="n">
        <x:v>0</x:v>
      </x:c>
      <x:c r="N144" s="6" t="n">
        <x:v>0</x:v>
      </x:c>
      <x:c r="O144" s="6" t="n">
        <x:v>0</x:v>
      </x:c>
      <x:c r="P144" s="6" t="n">
        <x:v>0</x:v>
      </x:c>
      <x:c r="Q144" s="6" t="str">
        <x:v>top_level</x:v>
      </x:c>
      <x:c r="R144" s="6" t="str">
        <x:v>2026</x:v>
      </x:c>
      <x:c r="S144" s="6" t="str">
        <x:v>Sep_Oct</x:v>
      </x:c>
      <x:c r="T144" s="6" t="d">
        <x:v>2026-10-01T05:56:56.000Z</x:v>
      </x:c>
      <x:c r="U144" s="6" t="str">
        <x:v>RESEARCH_WORKSPACE/ResearchTools/SaSa_Comment_Collection/data/xhs_research/comments.jsonl</x:v>
      </x:c>
      <x:c r="V144" s="6" t="str"/>
      <x:c r="W144" s="6" t="str">
        <x:v>not_reclassified</x:v>
      </x:c>
      <x:c r="X144" s="6" t="str">
        <x:v>No purchase inferred; see source review</x:v>
      </x:c>
      <x:c r="Y144" s="7" t="b">
        <x:v>0</x:v>
      </x:c>
    </x:row>
    <x:row r="145" ht="38" customHeight="1">
      <x:c r="A145" s="6" t="str">
        <x:v>xhs_6abb45550000000008037dde</x:v>
      </x:c>
      <x:c r="B145" s="6" t="str">
        <x:v>xhs_6aba764c000000001b01c08b</x:v>
      </x:c>
      <x:c r="C145" s="6" t="str">
        <x:v>Xiaohongshu</x:v>
      </x:c>
      <x:c r="D145" s="6" t="str">
        <x:v>unclear</x:v>
      </x:c>
      <x:c r="E145" s="6" t="str">
        <x:v>你这个亚当底子很好[doge]</x:v>
      </x:c>
      <x:c r="F145" s="6" t="str"/>
      <x:c r="G145" s="6" t="str"/>
      <x:c r="H145" s="6" t="str">
        <x:v>May praise the creator's natural resemblance rather than a reproducible cosmetic effect.</x:v>
      </x:c>
      <x:c r="I145" s="6" t="n">
        <x:v>0</x:v>
      </x:c>
      <x:c r="J145" s="6" t="n">
        <x:v>0</x:v>
      </x:c>
      <x:c r="K145" s="6" t="n">
        <x:v>0</x:v>
      </x:c>
      <x:c r="L145" s="6" t="n">
        <x:v>0</x:v>
      </x:c>
      <x:c r="M145" s="6" t="n">
        <x:v>0</x:v>
      </x:c>
      <x:c r="N145" s="6" t="n">
        <x:v>0</x:v>
      </x:c>
      <x:c r="O145" s="6" t="n">
        <x:v>0</x:v>
      </x:c>
      <x:c r="P145" s="6" t="n">
        <x:v>0</x:v>
      </x:c>
      <x:c r="Q145" s="6" t="str">
        <x:v>top_level</x:v>
      </x:c>
      <x:c r="R145" s="6" t="str">
        <x:v>2026</x:v>
      </x:c>
      <x:c r="S145" s="6" t="str">
        <x:v>Sep_Oct</x:v>
      </x:c>
      <x:c r="T145" s="6" t="d">
        <x:v>2026-09-29T04:57:57.000Z</x:v>
      </x:c>
      <x:c r="U145" s="6" t="str">
        <x:v>RESEARCH_WORKSPACE/ResearchTools/SaSa_Comment_Collection/data/xhs_research/comments.jsonl</x:v>
      </x:c>
      <x:c r="V145" s="6" t="str"/>
      <x:c r="W145" s="6" t="str">
        <x:v>not_reclassified</x:v>
      </x:c>
      <x:c r="X145" s="6" t="str">
        <x:v>No purchase inferred; see source review</x:v>
      </x:c>
      <x:c r="Y145" s="7" t="b">
        <x:v>0</x:v>
      </x:c>
    </x:row>
    <x:row r="146" ht="38" customHeight="1">
      <x:c r="A146" s="6" t="str">
        <x:v>xhs_6aba77d3000000000803287d</x:v>
      </x:c>
      <x:c r="B146" s="6" t="str">
        <x:v>xhs_6aba764c000000001b01c08b</x:v>
      </x:c>
      <x:c r="C146" s="6" t="str">
        <x:v>Xiaohongshu</x:v>
      </x:c>
      <x:c r="D146" s="6" t="str">
        <x:v>unclear</x:v>
      </x:c>
      <x:c r="E146" s="6" t="str">
        <x:v>[扶额R]我去</x:v>
      </x:c>
      <x:c r="F146" s="6" t="str"/>
      <x:c r="G146" s="6" t="str"/>
      <x:c r="H146" s="6" t="str">
        <x:v>Exclamation/emoji without a sufficiently clear meaning.</x:v>
      </x:c>
      <x:c r="I146" s="6" t="n">
        <x:v>0</x:v>
      </x:c>
      <x:c r="J146" s="6" t="n">
        <x:v>0</x:v>
      </x:c>
      <x:c r="K146" s="6" t="n">
        <x:v>0</x:v>
      </x:c>
      <x:c r="L146" s="6" t="n">
        <x:v>0</x:v>
      </x:c>
      <x:c r="M146" s="6" t="n">
        <x:v>0</x:v>
      </x:c>
      <x:c r="N146" s="6" t="n">
        <x:v>0</x:v>
      </x:c>
      <x:c r="O146" s="6" t="n">
        <x:v>0</x:v>
      </x:c>
      <x:c r="P146" s="6" t="n">
        <x:v>0</x:v>
      </x:c>
      <x:c r="Q146" s="6" t="str">
        <x:v>top_level</x:v>
      </x:c>
      <x:c r="R146" s="6" t="str">
        <x:v>2026</x:v>
      </x:c>
      <x:c r="S146" s="6" t="str">
        <x:v>Sep_Oct</x:v>
      </x:c>
      <x:c r="T146" s="6" t="d">
        <x:v>2026-09-28T14:21:07.000Z</x:v>
      </x:c>
      <x:c r="U146" s="6" t="str">
        <x:v>RESEARCH_WORKSPACE/ResearchTools/SaSa_Comment_Collection/data/xhs_research/comments.jsonl</x:v>
      </x:c>
      <x:c r="V146" s="6" t="str"/>
      <x:c r="W146" s="6" t="str">
        <x:v>not_reclassified</x:v>
      </x:c>
      <x:c r="X146" s="6" t="str">
        <x:v>No purchase inferred; see source review</x:v>
      </x:c>
      <x:c r="Y146" s="7" t="b">
        <x:v>0</x:v>
      </x:c>
    </x:row>
    <x:row r="147" ht="38" customHeight="1">
      <x:c r="A147" s="6" t="str">
        <x:v>xhs_6aba8d240000000012000887</x:v>
      </x:c>
      <x:c r="B147" s="6" t="str">
        <x:v>xhs_6aba764c000000001b01c08b</x:v>
      </x:c>
      <x:c r="C147" s="6" t="str">
        <x:v>Xiaohongshu</x:v>
      </x:c>
      <x:c r="D147" s="6" t="str">
        <x:v>valid</x:v>
      </x:c>
      <x:c r="E147" s="6" t="str">
        <x:v>最像的一集（没有说其他不像的意思</x:v>
      </x:c>
      <x:c r="F147" s="6" t="str"/>
      <x:c r="G147" s="6" t="str">
        <x:v>最像的一集（没有说其他不像的意思</x:v>
      </x:c>
      <x:c r="H147" s="6" t="str"/>
      <x:c r="I147" s="6" t="n">
        <x:v>1</x:v>
      </x:c>
      <x:c r="J147" s="6" t="n">
        <x:v>0</x:v>
      </x:c>
      <x:c r="K147" s="6" t="n">
        <x:v>0</x:v>
      </x:c>
      <x:c r="L147" s="6" t="n">
        <x:v>0</x:v>
      </x:c>
      <x:c r="M147" s="6" t="n">
        <x:v>0</x:v>
      </x:c>
      <x:c r="N147" s="6" t="n">
        <x:v>0</x:v>
      </x:c>
      <x:c r="O147" s="6" t="n">
        <x:v>0</x:v>
      </x:c>
      <x:c r="P147" s="6" t="n">
        <x:v>0</x:v>
      </x:c>
      <x:c r="Q147" s="6" t="str">
        <x:v>top_level</x:v>
      </x:c>
      <x:c r="R147" s="6" t="str">
        <x:v>2026</x:v>
      </x:c>
      <x:c r="S147" s="6" t="str">
        <x:v>Sep_Oct</x:v>
      </x:c>
      <x:c r="T147" s="6" t="d">
        <x:v>2026-09-28T15:52:04.000Z</x:v>
      </x:c>
      <x:c r="U147" s="6" t="str">
        <x:v>RESEARCH_WORKSPACE/ResearchTools/SaSa_Comment_Collection/data/xhs_research/comments.jsonl</x:v>
      </x:c>
      <x:c r="V147" s="6" t="str"/>
      <x:c r="W147" s="6" t="str">
        <x:v>not_reclassified</x:v>
      </x:c>
      <x:c r="X147" s="6" t="str">
        <x:v>No purchase inferred; see source review</x:v>
      </x:c>
      <x:c r="Y147" s="7" t="b">
        <x:v>0</x:v>
      </x:c>
    </x:row>
    <x:row r="148" ht="38" customHeight="1">
      <x:c r="A148" s="6" t="str">
        <x:v>xhs_6aba77130000000012008293</x:v>
      </x:c>
      <x:c r="B148" s="6" t="str">
        <x:v>xhs_6aba764c000000001b01c08b</x:v>
      </x:c>
      <x:c r="C148" s="6" t="str">
        <x:v>Xiaohongshu</x:v>
      </x:c>
      <x:c r="D148" s="6" t="str">
        <x:v>excluded</x:v>
      </x:c>
      <x:c r="E148" s="6" t="str">
        <x:v>1</x:v>
      </x:c>
      <x:c r="F148" s="6" t="str"/>
      <x:c r="G148" s="6" t="str"/>
      <x:c r="H148" s="6" t="str">
        <x:v>Bare numeral; no substantive research content.</x:v>
      </x:c>
      <x:c r="I148" s="6" t="n">
        <x:v>0</x:v>
      </x:c>
      <x:c r="J148" s="6" t="n">
        <x:v>0</x:v>
      </x:c>
      <x:c r="K148" s="6" t="n">
        <x:v>0</x:v>
      </x:c>
      <x:c r="L148" s="6" t="n">
        <x:v>0</x:v>
      </x:c>
      <x:c r="M148" s="6" t="n">
        <x:v>0</x:v>
      </x:c>
      <x:c r="N148" s="6" t="n">
        <x:v>0</x:v>
      </x:c>
      <x:c r="O148" s="6" t="n">
        <x:v>0</x:v>
      </x:c>
      <x:c r="P148" s="6" t="n">
        <x:v>0</x:v>
      </x:c>
      <x:c r="Q148" s="6" t="str">
        <x:v>top_level</x:v>
      </x:c>
      <x:c r="R148" s="6" t="str">
        <x:v>2026</x:v>
      </x:c>
      <x:c r="S148" s="6" t="str">
        <x:v>Sep_Oct</x:v>
      </x:c>
      <x:c r="T148" s="6" t="d">
        <x:v>2026-09-28T14:17:55.000Z</x:v>
      </x:c>
      <x:c r="U148" s="6" t="str">
        <x:v>RESEARCH_WORKSPACE/ResearchTools/SaSa_Comment_Collection/data/xhs_research/comments.jsonl</x:v>
      </x:c>
      <x:c r="V148" s="6" t="str"/>
      <x:c r="W148" s="6" t="str">
        <x:v>not_reclassified</x:v>
      </x:c>
      <x:c r="X148" s="6" t="str">
        <x:v>No purchase inferred; see source review</x:v>
      </x:c>
      <x:c r="Y148" s="7" t="b">
        <x:v>0</x:v>
      </x:c>
    </x:row>
    <x:row r="149" ht="38" customHeight="1">
      <x:c r="A149" s="6" t="str">
        <x:v>xhs_6aba776b000000000b00fe16</x:v>
      </x:c>
      <x:c r="B149" s="6" t="str">
        <x:v>xhs_6aba764c000000001b01c08b</x:v>
      </x:c>
      <x:c r="C149" s="6" t="str">
        <x:v>Xiaohongshu</x:v>
      </x:c>
      <x:c r="D149" s="6" t="str">
        <x:v>excluded</x:v>
      </x:c>
      <x:c r="E149" s="6" t="str">
        <x:v>1</x:v>
      </x:c>
      <x:c r="F149" s="6" t="str"/>
      <x:c r="G149" s="6" t="str"/>
      <x:c r="H149" s="6" t="str">
        <x:v>Bare numeral; no substantive research content.</x:v>
      </x:c>
      <x:c r="I149" s="6" t="n">
        <x:v>0</x:v>
      </x:c>
      <x:c r="J149" s="6" t="n">
        <x:v>0</x:v>
      </x:c>
      <x:c r="K149" s="6" t="n">
        <x:v>0</x:v>
      </x:c>
      <x:c r="L149" s="6" t="n">
        <x:v>0</x:v>
      </x:c>
      <x:c r="M149" s="6" t="n">
        <x:v>0</x:v>
      </x:c>
      <x:c r="N149" s="6" t="n">
        <x:v>0</x:v>
      </x:c>
      <x:c r="O149" s="6" t="n">
        <x:v>0</x:v>
      </x:c>
      <x:c r="P149" s="6" t="n">
        <x:v>0</x:v>
      </x:c>
      <x:c r="Q149" s="6" t="str">
        <x:v>top_level</x:v>
      </x:c>
      <x:c r="R149" s="6" t="str">
        <x:v>2026</x:v>
      </x:c>
      <x:c r="S149" s="6" t="str">
        <x:v>Sep_Oct</x:v>
      </x:c>
      <x:c r="T149" s="6" t="d">
        <x:v>2026-09-28T14:19:23.000Z</x:v>
      </x:c>
      <x:c r="U149" s="6" t="str">
        <x:v>RESEARCH_WORKSPACE/ResearchTools/SaSa_Comment_Collection/data/xhs_research/comments.jsonl</x:v>
      </x:c>
      <x:c r="V149" s="6" t="str"/>
      <x:c r="W149" s="6" t="str">
        <x:v>not_reclassified</x:v>
      </x:c>
      <x:c r="X149" s="6" t="str">
        <x:v>No purchase inferred; see source review</x:v>
      </x:c>
      <x:c r="Y149" s="7" t="b">
        <x:v>0</x:v>
      </x:c>
    </x:row>
    <x:row r="150" ht="38" customHeight="1">
      <x:c r="A150" s="6" t="str">
        <x:v>xhs_6ad567c8000000000100b3da</x:v>
      </x:c>
      <x:c r="B150" s="6" t="str">
        <x:v>xhs_6ad52f2a0000000029009b2b</x:v>
      </x:c>
      <x:c r="C150" s="6" t="str">
        <x:v>Xiaohongshu</x:v>
      </x:c>
      <x:c r="D150" s="6" t="str">
        <x:v>valid</x:v>
      </x:c>
      <x:c r="E150" s="6" t="str">
        <x:v>太棒了！！！</x:v>
      </x:c>
      <x:c r="F150" s="6" t="str"/>
      <x:c r="G150" s="6" t="str">
        <x:v>太棒了！！！</x:v>
      </x:c>
      <x:c r="H150" s="6" t="str"/>
      <x:c r="I150" s="6" t="n">
        <x:v>1</x:v>
      </x:c>
      <x:c r="J150" s="6" t="n">
        <x:v>0</x:v>
      </x:c>
      <x:c r="K150" s="6" t="n">
        <x:v>0</x:v>
      </x:c>
      <x:c r="L150" s="6" t="n">
        <x:v>0</x:v>
      </x:c>
      <x:c r="M150" s="6" t="n">
        <x:v>0</x:v>
      </x:c>
      <x:c r="N150" s="6" t="n">
        <x:v>0</x:v>
      </x:c>
      <x:c r="O150" s="6" t="n">
        <x:v>0</x:v>
      </x:c>
      <x:c r="P150" s="6" t="n">
        <x:v>0</x:v>
      </x:c>
      <x:c r="Q150" s="6" t="str">
        <x:v>top_level</x:v>
      </x:c>
      <x:c r="R150" s="6" t="str">
        <x:v>2026</x:v>
      </x:c>
      <x:c r="S150" s="6" t="str">
        <x:v>Sep_Oct</x:v>
      </x:c>
      <x:c r="T150" s="6" t="d">
        <x:v>2026-10-19T00:43:52.000Z</x:v>
      </x:c>
      <x:c r="U150" s="6" t="str">
        <x:v>RESEARCH_WORKSPACE/ResearchTools/SaSa_Comment_Collection/data/xhs_research/comments.jsonl</x:v>
      </x:c>
      <x:c r="V150" s="6" t="str"/>
      <x:c r="W150" s="6" t="str">
        <x:v>not_reclassified</x:v>
      </x:c>
      <x:c r="X150" s="6" t="str">
        <x:v>No purchase inferred; see source review</x:v>
      </x:c>
      <x:c r="Y150" s="7" t="b">
        <x:v>0</x:v>
      </x:c>
    </x:row>
    <x:row r="151" ht="38" customHeight="1">
      <x:c r="A151" s="6" t="str">
        <x:v>xhs_6ad5c608000000001301b8f8</x:v>
      </x:c>
      <x:c r="B151" s="6" t="str">
        <x:v>xhs_6ad52f2a0000000029009b2b</x:v>
      </x:c>
      <x:c r="C151" s="6" t="str">
        <x:v>Xiaohongshu</x:v>
      </x:c>
      <x:c r="D151" s="6" t="str">
        <x:v>unclear</x:v>
      </x:c>
      <x:c r="E151" s="6" t="str">
        <x:v>WOW[派对R]</x:v>
      </x:c>
      <x:c r="F151" s="6" t="str"/>
      <x:c r="G151" s="6" t="str"/>
      <x:c r="H151" s="6" t="str">
        <x:v>WOW with emoji is an ambiguous exclamation; no theme forced.</x:v>
      </x:c>
      <x:c r="I151" s="6" t="n">
        <x:v>0</x:v>
      </x:c>
      <x:c r="J151" s="6" t="n">
        <x:v>0</x:v>
      </x:c>
      <x:c r="K151" s="6" t="n">
        <x:v>0</x:v>
      </x:c>
      <x:c r="L151" s="6" t="n">
        <x:v>0</x:v>
      </x:c>
      <x:c r="M151" s="6" t="n">
        <x:v>0</x:v>
      </x:c>
      <x:c r="N151" s="6" t="n">
        <x:v>0</x:v>
      </x:c>
      <x:c r="O151" s="6" t="n">
        <x:v>0</x:v>
      </x:c>
      <x:c r="P151" s="6" t="n">
        <x:v>0</x:v>
      </x:c>
      <x:c r="Q151" s="6" t="str">
        <x:v>top_level</x:v>
      </x:c>
      <x:c r="R151" s="6" t="str">
        <x:v>2026</x:v>
      </x:c>
      <x:c r="S151" s="6" t="str">
        <x:v>Sep_Oct</x:v>
      </x:c>
      <x:c r="T151" s="6" t="d">
        <x:v>2026-10-19T07:26:00.000Z</x:v>
      </x:c>
      <x:c r="U151" s="6" t="str">
        <x:v>RESEARCH_WORKSPACE/ResearchTools/SaSa_Comment_Collection/data/xhs_research/comments.jsonl</x:v>
      </x:c>
      <x:c r="V151" s="6" t="str"/>
      <x:c r="W151" s="6" t="str">
        <x:v>not_reclassified</x:v>
      </x:c>
      <x:c r="X151" s="6" t="str">
        <x:v>No purchase inferred; see source review</x:v>
      </x:c>
      <x:c r="Y151" s="7" t="b">
        <x:v>0</x:v>
      </x:c>
    </x:row>
    <x:row r="152" ht="38" customHeight="1">
      <x:c r="A152" s="6" t="str">
        <x:v>xhs_6ad5703e0000000013005f56</x:v>
      </x:c>
      <x:c r="B152" s="6" t="str">
        <x:v>xhs_6ad52f2a0000000029009b2b</x:v>
      </x:c>
      <x:c r="C152" s="6" t="str">
        <x:v>Xiaohongshu</x:v>
      </x:c>
      <x:c r="D152" s="6" t="str">
        <x:v>excluded</x:v>
      </x:c>
      <x:c r="E152" s="6" t="str">
        <x:v>[捂脸R][捂脸R][捂脸R][捂脸R][捂脸R][捂脸R][捂脸R][捂脸R][捂脸R]</x:v>
      </x:c>
      <x:c r="F152" s="6" t="str"/>
      <x:c r="G152" s="6" t="str"/>
      <x:c r="H152" s="6" t="str">
        <x:v>Emoji only; no substantive interpretable text.</x:v>
      </x:c>
      <x:c r="I152" s="6" t="n">
        <x:v>0</x:v>
      </x:c>
      <x:c r="J152" s="6" t="n">
        <x:v>0</x:v>
      </x:c>
      <x:c r="K152" s="6" t="n">
        <x:v>0</x:v>
      </x:c>
      <x:c r="L152" s="6" t="n">
        <x:v>0</x:v>
      </x:c>
      <x:c r="M152" s="6" t="n">
        <x:v>0</x:v>
      </x:c>
      <x:c r="N152" s="6" t="n">
        <x:v>0</x:v>
      </x:c>
      <x:c r="O152" s="6" t="n">
        <x:v>0</x:v>
      </x:c>
      <x:c r="P152" s="6" t="n">
        <x:v>0</x:v>
      </x:c>
      <x:c r="Q152" s="6" t="str">
        <x:v>top_level</x:v>
      </x:c>
      <x:c r="R152" s="6" t="str">
        <x:v>2026</x:v>
      </x:c>
      <x:c r="S152" s="6" t="str">
        <x:v>Sep_Oct</x:v>
      </x:c>
      <x:c r="T152" s="6" t="d">
        <x:v>2026-10-19T01:19:58.000Z</x:v>
      </x:c>
      <x:c r="U152" s="6" t="str">
        <x:v>RESEARCH_WORKSPACE/ResearchTools/SaSa_Comment_Collection/data/xhs_research/comments.jsonl</x:v>
      </x:c>
      <x:c r="V152" s="6" t="str"/>
      <x:c r="W152" s="6" t="str">
        <x:v>not_reclassified</x:v>
      </x:c>
      <x:c r="X152" s="6" t="str">
        <x:v>No purchase inferred; see source review</x:v>
      </x:c>
      <x:c r="Y152" s="7" t="b">
        <x:v>0</x:v>
      </x:c>
    </x:row>
    <x:row r="153" ht="52" customHeight="1">
      <x:c r="A153" s="6" t="str">
        <x:v>instagram_18021104606728706</x:v>
      </x:c>
      <x:c r="B153" s="6" t="str">
        <x:v>instagram_DeppGlOxgA4</x:v>
      </x:c>
      <x:c r="C153" s="6" t="str">
        <x:v>Instagram</x:v>
      </x:c>
      <x:c r="D153" s="6" t="str">
        <x:v>excluded</x:v>
      </x:c>
      <x:c r="E153" s="6" t="str">
        <x:v>WOW! Que maravilhosa! Amamos ver nosso reizinho BT VELVET em ação nessa obra de arte, Ana. Entregou muito! Parabéns! 💙🥰</x:v>
      </x:c>
      <x:c r="F153" s="6" t="str"/>
      <x:c r="G153" s="6" t="str"/>
      <x:c r="H153" s="6" t="str">
        <x:v>Brand affiliation indicated by own-product wording and displayed account</x:v>
      </x:c>
      <x:c r="I153" s="6" t="n">
        <x:v>0</x:v>
      </x:c>
      <x:c r="J153" s="6" t="n">
        <x:v>0</x:v>
      </x:c>
      <x:c r="K153" s="6" t="n">
        <x:v>0</x:v>
      </x:c>
      <x:c r="L153" s="6" t="n">
        <x:v>0</x:v>
      </x:c>
      <x:c r="M153" s="6" t="n">
        <x:v>0</x:v>
      </x:c>
      <x:c r="N153" s="6" t="n">
        <x:v>0</x:v>
      </x:c>
      <x:c r="O153" s="6" t="n">
        <x:v>0</x:v>
      </x:c>
      <x:c r="P153" s="6" t="n">
        <x:v>0</x:v>
      </x:c>
      <x:c r="Q153" s="6" t="str">
        <x:v>top_level_visible_in_screenshot</x:v>
      </x:c>
      <x:c r="R153" s="6" t="str">
        <x:v>2026</x:v>
      </x:c>
      <x:c r="S153" s="6" t="str">
        <x:v>Sep_Oct</x:v>
      </x:c>
      <x:c r="T153" s="6" t="d">
        <x:v>2026-10-19T13:37:58.000Z</x:v>
      </x:c>
      <x:c r="U153" s="6" t="str">
        <x:v>RESEARCH_WORKSPACE/ResearchTools/SaSa_Comment_Collection/data/instagram_browser/DeppGlOxgA4_1792433992025104000.json</x:v>
      </x:c>
      <x:c r="V153" s="6" t="str"/>
      <x:c r="W153" s="6" t="str">
        <x:v>not_reclassified</x:v>
      </x:c>
      <x:c r="X153" s="6" t="str">
        <x:v>No purchase inferred; see source review</x:v>
      </x:c>
      <x:c r="Y153" s="7" t="b">
        <x:v>0</x:v>
      </x:c>
    </x:row>
    <x:row r="154" ht="52" customHeight="1">
      <x:c r="A154" s="6" t="str">
        <x:v>instagram_18436987594179228</x:v>
      </x:c>
      <x:c r="B154" s="6" t="str">
        <x:v>instagram_DeppGlOxgA4</x:v>
      </x:c>
      <x:c r="C154" s="6" t="str">
        <x:v>Instagram</x:v>
      </x:c>
      <x:c r="D154" s="6" t="str">
        <x:v>valid</x:v>
      </x:c>
      <x:c r="E154" s="6" t="str">
        <x:v>Parabéns! Incrível!</x:v>
      </x:c>
      <x:c r="F154" s="6" t="str"/>
      <x:c r="G154" s="6" t="str">
        <x:v>Parabéns! Incrível!</x:v>
      </x:c>
      <x:c r="H154" s="6" t="str"/>
      <x:c r="I154" s="6" t="n">
        <x:v>1</x:v>
      </x:c>
      <x:c r="J154" s="6" t="n">
        <x:v>0</x:v>
      </x:c>
      <x:c r="K154" s="6" t="n">
        <x:v>0</x:v>
      </x:c>
      <x:c r="L154" s="6" t="n">
        <x:v>0</x:v>
      </x:c>
      <x:c r="M154" s="6" t="n">
        <x:v>0</x:v>
      </x:c>
      <x:c r="N154" s="6" t="n">
        <x:v>0</x:v>
      </x:c>
      <x:c r="O154" s="6" t="n">
        <x:v>0</x:v>
      </x:c>
      <x:c r="P154" s="6" t="n">
        <x:v>0</x:v>
      </x:c>
      <x:c r="Q154" s="6" t="str">
        <x:v>top_level_visible_in_screenshot</x:v>
      </x:c>
      <x:c r="R154" s="6" t="str">
        <x:v>2026</x:v>
      </x:c>
      <x:c r="S154" s="6" t="str">
        <x:v>Sep_Oct</x:v>
      </x:c>
      <x:c r="T154" s="6" t="d">
        <x:v>2026-10-19T02:14:18.000Z</x:v>
      </x:c>
      <x:c r="U154" s="6" t="str">
        <x:v>RESEARCH_WORKSPACE/ResearchTools/SaSa_Comment_Collection/data/instagram_browser/DeppGlOxgA4_1792433992025104000.json</x:v>
      </x:c>
      <x:c r="V154" s="6" t="str"/>
      <x:c r="W154" s="6" t="str">
        <x:v>not_reclassified</x:v>
      </x:c>
      <x:c r="X154" s="6" t="str">
        <x:v>No purchase inferred; see source review</x:v>
      </x:c>
      <x:c r="Y154" s="7" t="b">
        <x:v>0</x:v>
      </x:c>
    </x:row>
    <x:row r="155" ht="52" customHeight="1">
      <x:c r="A155" s="6" t="str">
        <x:v>instagram_18111239435333172</x:v>
      </x:c>
      <x:c r="B155" s="6" t="str">
        <x:v>instagram_DeppGlOxgA4</x:v>
      </x:c>
      <x:c r="C155" s="6" t="str">
        <x:v>Instagram</x:v>
      </x:c>
      <x:c r="D155" s="6" t="str">
        <x:v>valid</x:v>
      </x:c>
      <x:c r="E155" s="6" t="str">
        <x:v>Talentosa demais 👏👏👏👏</x:v>
      </x:c>
      <x:c r="F155" s="6" t="str"/>
      <x:c r="G155" s="6" t="str">
        <x:v>Talentosa demais 👏👏👏👏</x:v>
      </x:c>
      <x:c r="H155" s="6" t="str"/>
      <x:c r="I155" s="6" t="n">
        <x:v>1</x:v>
      </x:c>
      <x:c r="J155" s="6" t="n">
        <x:v>0</x:v>
      </x:c>
      <x:c r="K155" s="6" t="n">
        <x:v>0</x:v>
      </x:c>
      <x:c r="L155" s="6" t="n">
        <x:v>0</x:v>
      </x:c>
      <x:c r="M155" s="6" t="n">
        <x:v>0</x:v>
      </x:c>
      <x:c r="N155" s="6" t="n">
        <x:v>0</x:v>
      </x:c>
      <x:c r="O155" s="6" t="n">
        <x:v>0</x:v>
      </x:c>
      <x:c r="P155" s="6" t="n">
        <x:v>0</x:v>
      </x:c>
      <x:c r="Q155" s="6" t="str">
        <x:v>top_level_visible_in_screenshot</x:v>
      </x:c>
      <x:c r="R155" s="6" t="str">
        <x:v>2026</x:v>
      </x:c>
      <x:c r="S155" s="6" t="str">
        <x:v>Sep_Oct</x:v>
      </x:c>
      <x:c r="T155" s="6" t="d">
        <x:v>2026-10-19T02:22:18.000Z</x:v>
      </x:c>
      <x:c r="U155" s="6" t="str">
        <x:v>RESEARCH_WORKSPACE/ResearchTools/SaSa_Comment_Collection/data/instagram_browser/DeppGlOxgA4_1792433992025104000.json</x:v>
      </x:c>
      <x:c r="V155" s="6" t="str"/>
      <x:c r="W155" s="6" t="str">
        <x:v>not_reclassified</x:v>
      </x:c>
      <x:c r="X155" s="6" t="str">
        <x:v>No purchase inferred; see source review</x:v>
      </x:c>
      <x:c r="Y155" s="7" t="b">
        <x:v>0</x:v>
      </x:c>
    </x:row>
    <x:row r="156" ht="52" customHeight="1">
      <x:c r="A156" s="6" t="str">
        <x:v>instagram_18115544456041797</x:v>
      </x:c>
      <x:c r="B156" s="6" t="str">
        <x:v>instagram_DeppGlOxgA4</x:v>
      </x:c>
      <x:c r="C156" s="6" t="str">
        <x:v>Instagram</x:v>
      </x:c>
      <x:c r="D156" s="6" t="str">
        <x:v>valid</x:v>
      </x:c>
      <x:c r="E156" s="6" t="str">
        <x:v>Ficou incrível</x:v>
      </x:c>
      <x:c r="F156" s="6" t="str"/>
      <x:c r="G156" s="6" t="str">
        <x:v>Ficou incrível</x:v>
      </x:c>
      <x:c r="H156" s="6" t="str"/>
      <x:c r="I156" s="6" t="n">
        <x:v>1</x:v>
      </x:c>
      <x:c r="J156" s="6" t="n">
        <x:v>0</x:v>
      </x:c>
      <x:c r="K156" s="6" t="n">
        <x:v>0</x:v>
      </x:c>
      <x:c r="L156" s="6" t="n">
        <x:v>0</x:v>
      </x:c>
      <x:c r="M156" s="6" t="n">
        <x:v>0</x:v>
      </x:c>
      <x:c r="N156" s="6" t="n">
        <x:v>0</x:v>
      </x:c>
      <x:c r="O156" s="6" t="n">
        <x:v>0</x:v>
      </x:c>
      <x:c r="P156" s="6" t="n">
        <x:v>0</x:v>
      </x:c>
      <x:c r="Q156" s="6" t="str">
        <x:v>top_level_visible_in_screenshot</x:v>
      </x:c>
      <x:c r="R156" s="6" t="str">
        <x:v>2026</x:v>
      </x:c>
      <x:c r="S156" s="6" t="str">
        <x:v>Sep_Oct</x:v>
      </x:c>
      <x:c r="T156" s="6" t="d">
        <x:v>2026-10-18T22:00:01.000Z</x:v>
      </x:c>
      <x:c r="U156" s="6" t="str">
        <x:v>RESEARCH_WORKSPACE/ResearchTools/SaSa_Comment_Collection/data/instagram_browser/DeppGlOxgA4_1792433992025104000.json</x:v>
      </x:c>
      <x:c r="V156" s="6" t="str"/>
      <x:c r="W156" s="6" t="str">
        <x:v>not_reclassified</x:v>
      </x:c>
      <x:c r="X156" s="6" t="str">
        <x:v>No purchase inferred; see source review</x:v>
      </x:c>
      <x:c r="Y156" s="7" t="b">
        <x:v>0</x:v>
      </x:c>
    </x:row>
    <x:row r="157" ht="52" customHeight="1">
      <x:c r="A157" s="6" t="str">
        <x:v>instagram_18118359988952939</x:v>
      </x:c>
      <x:c r="B157" s="6" t="str">
        <x:v>instagram_DeppGlOxgA4</x:v>
      </x:c>
      <x:c r="C157" s="6" t="str">
        <x:v>Instagram</x:v>
      </x:c>
      <x:c r="D157" s="6" t="str">
        <x:v>valid</x:v>
      </x:c>
      <x:c r="E157" s="6" t="str">
        <x:v>Artista 👏👏</x:v>
      </x:c>
      <x:c r="F157" s="6" t="str"/>
      <x:c r="G157" s="6" t="str">
        <x:v>Artista 👏👏</x:v>
      </x:c>
      <x:c r="H157" s="6" t="str"/>
      <x:c r="I157" s="6" t="n">
        <x:v>1</x:v>
      </x:c>
      <x:c r="J157" s="6" t="n">
        <x:v>0</x:v>
      </x:c>
      <x:c r="K157" s="6" t="n">
        <x:v>0</x:v>
      </x:c>
      <x:c r="L157" s="6" t="n">
        <x:v>0</x:v>
      </x:c>
      <x:c r="M157" s="6" t="n">
        <x:v>0</x:v>
      </x:c>
      <x:c r="N157" s="6" t="n">
        <x:v>0</x:v>
      </x:c>
      <x:c r="O157" s="6" t="n">
        <x:v>0</x:v>
      </x:c>
      <x:c r="P157" s="6" t="n">
        <x:v>0</x:v>
      </x:c>
      <x:c r="Q157" s="6" t="str">
        <x:v>top_level_visible_in_screenshot</x:v>
      </x:c>
      <x:c r="R157" s="6" t="str">
        <x:v>2026</x:v>
      </x:c>
      <x:c r="S157" s="6" t="str">
        <x:v>Sep_Oct</x:v>
      </x:c>
      <x:c r="T157" s="6" t="d">
        <x:v>2026-10-18T21:30:57.000Z</x:v>
      </x:c>
      <x:c r="U157" s="6" t="str">
        <x:v>RESEARCH_WORKSPACE/ResearchTools/SaSa_Comment_Collection/data/instagram_browser/DeppGlOxgA4_1792433992025104000.json</x:v>
      </x:c>
      <x:c r="V157" s="6" t="str"/>
      <x:c r="W157" s="6" t="str">
        <x:v>not_reclassified</x:v>
      </x:c>
      <x:c r="X157" s="6" t="str">
        <x:v>No purchase inferred; see source review</x:v>
      </x:c>
      <x:c r="Y157" s="7" t="b">
        <x:v>0</x:v>
      </x:c>
    </x:row>
    <x:row r="158" ht="52" customHeight="1">
      <x:c r="A158" s="6" t="str">
        <x:v>instagram_18120769931289834</x:v>
      </x:c>
      <x:c r="B158" s="6" t="str">
        <x:v>instagram_DeppGlOxgA4</x:v>
      </x:c>
      <x:c r="C158" s="6" t="str">
        <x:v>Instagram</x:v>
      </x:c>
      <x:c r="D158" s="6" t="str">
        <x:v>pending_evidence</x:v>
      </x:c>
      <x:c r="E158" s="6" t="str">
        <x:v>Woooow eres una master ! Bravo</x:v>
      </x:c>
      <x:c r="F158" s="6" t="str"/>
      <x:c r="G158" s="6" t="str">
        <x:v>Woooow eres una master ! Bravo</x:v>
      </x:c>
      <x:c r="H158" s="6" t="str"/>
      <x:c r="I158" s="6" t="n">
        <x:v>1</x:v>
      </x:c>
      <x:c r="J158" s="6" t="n">
        <x:v>0</x:v>
      </x:c>
      <x:c r="K158" s="6" t="n">
        <x:v>0</x:v>
      </x:c>
      <x:c r="L158" s="6" t="n">
        <x:v>0</x:v>
      </x:c>
      <x:c r="M158" s="6" t="n">
        <x:v>0</x:v>
      </x:c>
      <x:c r="N158" s="6" t="n">
        <x:v>0</x:v>
      </x:c>
      <x:c r="O158" s="6" t="n">
        <x:v>0</x:v>
      </x:c>
      <x:c r="P158" s="6" t="n">
        <x:v>0</x:v>
      </x:c>
      <x:c r="Q158" s="6" t="str">
        <x:v>unverified_offscreen_DOM</x:v>
      </x:c>
      <x:c r="R158" s="6" t="str">
        <x:v>2026</x:v>
      </x:c>
      <x:c r="S158" s="6" t="str">
        <x:v>Sep_Oct</x:v>
      </x:c>
      <x:c r="T158" s="6" t="d">
        <x:v>2026-10-18T23:16:59.000Z</x:v>
      </x:c>
      <x:c r="U158" s="6" t="str">
        <x:v>RESEARCH_WORKSPACE/ResearchTools/SaSa_Comment_Collection/data/instagram_browser/DeppGlOxgA4_1792433992025104000.json</x:v>
      </x:c>
      <x:c r="V158" s="6" t="str"/>
      <x:c r="W158" s="6" t="str">
        <x:v>not_reclassified</x:v>
      </x:c>
      <x:c r="X158" s="6" t="str">
        <x:v>No purchase inferred; see source review</x:v>
      </x:c>
      <x:c r="Y158" s="7" t="b">
        <x:v>0</x:v>
      </x:c>
    </x:row>
    <x:row r="159" ht="52" customHeight="1">
      <x:c r="A159" s="6" t="str">
        <x:v>instagram_18143960338606159</x:v>
      </x:c>
      <x:c r="B159" s="6" t="str">
        <x:v>instagram_DeppGlOxgA4</x:v>
      </x:c>
      <x:c r="C159" s="6" t="str">
        <x:v>Instagram</x:v>
      </x:c>
      <x:c r="D159" s="6" t="str">
        <x:v>pending_evidence</x:v>
      </x:c>
      <x:c r="E159" s="6" t="str">
        <x:v>Obrigada por compartilhar diva!!!!</x:v>
      </x:c>
      <x:c r="F159" s="6" t="str"/>
      <x:c r="G159" s="6" t="str"/>
      <x:c r="H159" s="6" t="str"/>
      <x:c r="I159" s="6" t="n">
        <x:v>0</x:v>
      </x:c>
      <x:c r="J159" s="6" t="n">
        <x:v>0</x:v>
      </x:c>
      <x:c r="K159" s="6" t="n">
        <x:v>0</x:v>
      </x:c>
      <x:c r="L159" s="6" t="n">
        <x:v>0</x:v>
      </x:c>
      <x:c r="M159" s="6" t="n">
        <x:v>0</x:v>
      </x:c>
      <x:c r="N159" s="6" t="n">
        <x:v>0</x:v>
      </x:c>
      <x:c r="O159" s="6" t="n">
        <x:v>0</x:v>
      </x:c>
      <x:c r="P159" s="6" t="n">
        <x:v>0</x:v>
      </x:c>
      <x:c r="Q159" s="6" t="str">
        <x:v>unverified_offscreen_DOM</x:v>
      </x:c>
      <x:c r="R159" s="6" t="str">
        <x:v>2026</x:v>
      </x:c>
      <x:c r="S159" s="6" t="str">
        <x:v>Sep_Oct</x:v>
      </x:c>
      <x:c r="T159" s="6" t="d">
        <x:v>2026-10-18T22:48:18.000Z</x:v>
      </x:c>
      <x:c r="U159" s="6" t="str">
        <x:v>RESEARCH_WORKSPACE/ResearchTools/SaSa_Comment_Collection/data/instagram_browser/DeppGlOxgA4_1792433992025104000.json</x:v>
      </x:c>
      <x:c r="V159" s="6" t="str"/>
      <x:c r="W159" s="6" t="str">
        <x:v>not_reclassified</x:v>
      </x:c>
      <x:c r="X159" s="6" t="str">
        <x:v>No purchase inferred; see source review</x:v>
      </x:c>
      <x:c r="Y159" s="7" t="b">
        <x:v>0</x:v>
      </x:c>
    </x:row>
    <x:row r="160" ht="52" customHeight="1">
      <x:c r="A160" s="6" t="str">
        <x:v>instagram_17990768286107960</x:v>
      </x:c>
      <x:c r="B160" s="6" t="str">
        <x:v>instagram_DeppGlOxgA4</x:v>
      </x:c>
      <x:c r="C160" s="6" t="str">
        <x:v>Instagram</x:v>
      </x:c>
      <x:c r="D160" s="6" t="str">
        <x:v>pending_evidence</x:v>
      </x:c>
      <x:c r="E160" s="6" t="str">
        <x:v>Ficou incrível. Parabéns !!! 😍❤️</x:v>
      </x:c>
      <x:c r="F160" s="6" t="str"/>
      <x:c r="G160" s="6" t="str">
        <x:v>Ficou incrível. Parabéns !!! 😍❤️</x:v>
      </x:c>
      <x:c r="H160" s="6" t="str"/>
      <x:c r="I160" s="6" t="n">
        <x:v>1</x:v>
      </x:c>
      <x:c r="J160" s="6" t="n">
        <x:v>0</x:v>
      </x:c>
      <x:c r="K160" s="6" t="n">
        <x:v>0</x:v>
      </x:c>
      <x:c r="L160" s="6" t="n">
        <x:v>0</x:v>
      </x:c>
      <x:c r="M160" s="6" t="n">
        <x:v>0</x:v>
      </x:c>
      <x:c r="N160" s="6" t="n">
        <x:v>0</x:v>
      </x:c>
      <x:c r="O160" s="6" t="n">
        <x:v>0</x:v>
      </x:c>
      <x:c r="P160" s="6" t="n">
        <x:v>0</x:v>
      </x:c>
      <x:c r="Q160" s="6" t="str">
        <x:v>unverified_offscreen_DOM</x:v>
      </x:c>
      <x:c r="R160" s="6" t="str">
        <x:v>2026</x:v>
      </x:c>
      <x:c r="S160" s="6" t="str">
        <x:v>Sep_Oct</x:v>
      </x:c>
      <x:c r="T160" s="6" t="d">
        <x:v>2026-10-19T02:14:00.000Z</x:v>
      </x:c>
      <x:c r="U160" s="6" t="str">
        <x:v>RESEARCH_WORKSPACE/ResearchTools/SaSa_Comment_Collection/data/instagram_browser/DeppGlOxgA4_1792433992025104000.json</x:v>
      </x:c>
      <x:c r="V160" s="6" t="str"/>
      <x:c r="W160" s="6" t="str">
        <x:v>not_reclassified</x:v>
      </x:c>
      <x:c r="X160" s="6" t="str">
        <x:v>No purchase inferred; see source review</x:v>
      </x:c>
      <x:c r="Y160" s="7" t="b">
        <x:v>0</x:v>
      </x:c>
    </x:row>
    <x:row r="161" ht="52" customHeight="1">
      <x:c r="A161" s="6" t="str">
        <x:v>instagram_18118727269992361</x:v>
      </x:c>
      <x:c r="B161" s="6" t="str">
        <x:v>instagram_DeppGlOxgA4</x:v>
      </x:c>
      <x:c r="C161" s="6" t="str">
        <x:v>Instagram</x:v>
      </x:c>
      <x:c r="D161" s="6" t="str">
        <x:v>pending_evidence</x:v>
      </x:c>
      <x:c r="E161" s="6" t="str">
        <x:v>Arrasa demais</x:v>
      </x:c>
      <x:c r="F161" s="6" t="str"/>
      <x:c r="G161" s="6" t="str">
        <x:v>Arrasa demais</x:v>
      </x:c>
      <x:c r="H161" s="6" t="str"/>
      <x:c r="I161" s="6" t="n">
        <x:v>1</x:v>
      </x:c>
      <x:c r="J161" s="6" t="n">
        <x:v>0</x:v>
      </x:c>
      <x:c r="K161" s="6" t="n">
        <x:v>0</x:v>
      </x:c>
      <x:c r="L161" s="6" t="n">
        <x:v>0</x:v>
      </x:c>
      <x:c r="M161" s="6" t="n">
        <x:v>0</x:v>
      </x:c>
      <x:c r="N161" s="6" t="n">
        <x:v>0</x:v>
      </x:c>
      <x:c r="O161" s="6" t="n">
        <x:v>0</x:v>
      </x:c>
      <x:c r="P161" s="6" t="n">
        <x:v>0</x:v>
      </x:c>
      <x:c r="Q161" s="6" t="str">
        <x:v>unverified_offscreen_DOM</x:v>
      </x:c>
      <x:c r="R161" s="6" t="str">
        <x:v>2026</x:v>
      </x:c>
      <x:c r="S161" s="6" t="str">
        <x:v>Sep_Oct</x:v>
      </x:c>
      <x:c r="T161" s="6" t="d">
        <x:v>2026-10-18T22:09:37.000Z</x:v>
      </x:c>
      <x:c r="U161" s="6" t="str">
        <x:v>RESEARCH_WORKSPACE/ResearchTools/SaSa_Comment_Collection/data/instagram_browser/DeppGlOxgA4_1792433992025104000.json</x:v>
      </x:c>
      <x:c r="V161" s="6" t="str"/>
      <x:c r="W161" s="6" t="str">
        <x:v>not_reclassified</x:v>
      </x:c>
      <x:c r="X161" s="6" t="str">
        <x:v>No purchase inferred; see source review</x:v>
      </x:c>
      <x:c r="Y161" s="7" t="b">
        <x:v>0</x:v>
      </x:c>
    </x:row>
    <x:row r="162" ht="52" customHeight="1">
      <x:c r="A162" s="6" t="str">
        <x:v>instagram_18133940590673023</x:v>
      </x:c>
      <x:c r="B162" s="6" t="str">
        <x:v>instagram_DeppGlOxgA4</x:v>
      </x:c>
      <x:c r="C162" s="6" t="str">
        <x:v>Instagram</x:v>
      </x:c>
      <x:c r="D162" s="6" t="str">
        <x:v>pending_evidence</x:v>
      </x:c>
      <x:c r="E162" s="6" t="str">
        <x:v>Perfeito 🔥</x:v>
      </x:c>
      <x:c r="F162" s="6" t="str"/>
      <x:c r="G162" s="6" t="str">
        <x:v>Perfeito 🔥</x:v>
      </x:c>
      <x:c r="H162" s="6" t="str"/>
      <x:c r="I162" s="6" t="n">
        <x:v>1</x:v>
      </x:c>
      <x:c r="J162" s="6" t="n">
        <x:v>0</x:v>
      </x:c>
      <x:c r="K162" s="6" t="n">
        <x:v>0</x:v>
      </x:c>
      <x:c r="L162" s="6" t="n">
        <x:v>0</x:v>
      </x:c>
      <x:c r="M162" s="6" t="n">
        <x:v>0</x:v>
      </x:c>
      <x:c r="N162" s="6" t="n">
        <x:v>0</x:v>
      </x:c>
      <x:c r="O162" s="6" t="n">
        <x:v>0</x:v>
      </x:c>
      <x:c r="P162" s="6" t="n">
        <x:v>0</x:v>
      </x:c>
      <x:c r="Q162" s="6" t="str">
        <x:v>unverified_offscreen_DOM</x:v>
      </x:c>
      <x:c r="R162" s="6" t="str">
        <x:v>2026</x:v>
      </x:c>
      <x:c r="S162" s="6" t="str">
        <x:v>Sep_Oct</x:v>
      </x:c>
      <x:c r="T162" s="6" t="d">
        <x:v>2026-10-19T13:03:54.000Z</x:v>
      </x:c>
      <x:c r="U162" s="6" t="str">
        <x:v>RESEARCH_WORKSPACE/ResearchTools/SaSa_Comment_Collection/data/instagram_browser/DeppGlOxgA4_1792433992025104000.json</x:v>
      </x:c>
      <x:c r="V162" s="6" t="str"/>
      <x:c r="W162" s="6" t="str">
        <x:v>not_reclassified</x:v>
      </x:c>
      <x:c r="X162" s="6" t="str">
        <x:v>No purchase inferred; see source review</x:v>
      </x:c>
      <x:c r="Y162" s="7" t="b">
        <x:v>0</x:v>
      </x:c>
    </x:row>
    <x:row r="163" ht="52" customHeight="1">
      <x:c r="A163" s="6" t="str">
        <x:v>instagram_18081644540708930</x:v>
      </x:c>
      <x:c r="B163" s="6" t="str">
        <x:v>instagram_DeppGlOxgA4</x:v>
      </x:c>
      <x:c r="C163" s="6" t="str">
        <x:v>Instagram</x:v>
      </x:c>
      <x:c r="D163" s="6" t="str">
        <x:v>pending_evidence</x:v>
      </x:c>
      <x:c r="E163" s="6" t="str">
        <x:v>Incrível, muito talentosa! 👏👏👏</x:v>
      </x:c>
      <x:c r="F163" s="6" t="str"/>
      <x:c r="G163" s="6" t="str">
        <x:v>Incrível, muito talentosa! 👏👏👏</x:v>
      </x:c>
      <x:c r="H163" s="6" t="str"/>
      <x:c r="I163" s="6" t="n">
        <x:v>1</x:v>
      </x:c>
      <x:c r="J163" s="6" t="n">
        <x:v>0</x:v>
      </x:c>
      <x:c r="K163" s="6" t="n">
        <x:v>0</x:v>
      </x:c>
      <x:c r="L163" s="6" t="n">
        <x:v>0</x:v>
      </x:c>
      <x:c r="M163" s="6" t="n">
        <x:v>0</x:v>
      </x:c>
      <x:c r="N163" s="6" t="n">
        <x:v>0</x:v>
      </x:c>
      <x:c r="O163" s="6" t="n">
        <x:v>0</x:v>
      </x:c>
      <x:c r="P163" s="6" t="n">
        <x:v>0</x:v>
      </x:c>
      <x:c r="Q163" s="6" t="str">
        <x:v>unverified_offscreen_DOM</x:v>
      </x:c>
      <x:c r="R163" s="6" t="str">
        <x:v>2026</x:v>
      </x:c>
      <x:c r="S163" s="6" t="str">
        <x:v>Sep_Oct</x:v>
      </x:c>
      <x:c r="T163" s="6" t="d">
        <x:v>2026-10-18T21:49:00.000Z</x:v>
      </x:c>
      <x:c r="U163" s="6" t="str">
        <x:v>RESEARCH_WORKSPACE/ResearchTools/SaSa_Comment_Collection/data/instagram_browser/DeppGlOxgA4_1792433992025104000.json</x:v>
      </x:c>
      <x:c r="V163" s="6" t="str"/>
      <x:c r="W163" s="6" t="str">
        <x:v>not_reclassified</x:v>
      </x:c>
      <x:c r="X163" s="6" t="str">
        <x:v>No purchase inferred; see source review</x:v>
      </x:c>
      <x:c r="Y163" s="7" t="b">
        <x:v>0</x:v>
      </x:c>
    </x:row>
    <x:row r="164" ht="52" customHeight="1">
      <x:c r="A164" s="6" t="str">
        <x:v>instagram_18128211604854674</x:v>
      </x:c>
      <x:c r="B164" s="6" t="str">
        <x:v>instagram_DeppGlOxgA4</x:v>
      </x:c>
      <x:c r="C164" s="6" t="str">
        <x:v>Instagram</x:v>
      </x:c>
      <x:c r="D164" s="6" t="str">
        <x:v>pending_evidence</x:v>
      </x:c>
      <x:c r="E164" s="6" t="str">
        <x:v>Horripilante seu trabalho 👏 parabéns</x:v>
      </x:c>
      <x:c r="F164" s="6" t="str"/>
      <x:c r="G164" s="6" t="str">
        <x:v>Horripilante seu trabalho 👏 parabéns</x:v>
      </x:c>
      <x:c r="H164" s="6" t="str">
        <x:v>Horrifying is praise in context of congratulations/clapping</x:v>
      </x:c>
      <x:c r="I164" s="6" t="n">
        <x:v>1</x:v>
      </x:c>
      <x:c r="J164" s="6" t="n">
        <x:v>0</x:v>
      </x:c>
      <x:c r="K164" s="6" t="n">
        <x:v>0</x:v>
      </x:c>
      <x:c r="L164" s="6" t="n">
        <x:v>0</x:v>
      </x:c>
      <x:c r="M164" s="6" t="n">
        <x:v>0</x:v>
      </x:c>
      <x:c r="N164" s="6" t="n">
        <x:v>0</x:v>
      </x:c>
      <x:c r="O164" s="6" t="n">
        <x:v>0</x:v>
      </x:c>
      <x:c r="P164" s="6" t="n">
        <x:v>0</x:v>
      </x:c>
      <x:c r="Q164" s="6" t="str">
        <x:v>unverified_offscreen_DOM</x:v>
      </x:c>
      <x:c r="R164" s="6" t="str">
        <x:v>2026</x:v>
      </x:c>
      <x:c r="S164" s="6" t="str">
        <x:v>Sep_Oct</x:v>
      </x:c>
      <x:c r="T164" s="6" t="d">
        <x:v>2026-10-19T01:02:21.000Z</x:v>
      </x:c>
      <x:c r="U164" s="6" t="str">
        <x:v>RESEARCH_WORKSPACE/ResearchTools/SaSa_Comment_Collection/data/instagram_browser/DeppGlOxgA4_1792433992025104000.json</x:v>
      </x:c>
      <x:c r="V164" s="6" t="str"/>
      <x:c r="W164" s="6" t="str">
        <x:v>not_reclassified</x:v>
      </x:c>
      <x:c r="X164" s="6" t="str">
        <x:v>No purchase inferred; see source review</x:v>
      </x:c>
      <x:c r="Y164" s="7" t="b">
        <x:v>0</x:v>
      </x:c>
    </x:row>
    <x:row r="165" ht="52" customHeight="1">
      <x:c r="A165" s="6" t="str">
        <x:v>instagram_18119091587052467</x:v>
      </x:c>
      <x:c r="B165" s="6" t="str">
        <x:v>instagram_DeppGlOxgA4</x:v>
      </x:c>
      <x:c r="C165" s="6" t="str">
        <x:v>Instagram</x:v>
      </x:c>
      <x:c r="D165" s="6" t="str">
        <x:v>unclear</x:v>
      </x:c>
      <x:c r="E165" s="6" t="str">
        <x:v>Uauuuu</x:v>
      </x:c>
      <x:c r="F165" s="6" t="str"/>
      <x:c r="G165" s="6" t="str"/>
      <x:c r="H165" s="6" t="str"/>
      <x:c r="I165" s="6" t="n">
        <x:v>0</x:v>
      </x:c>
      <x:c r="J165" s="6" t="n">
        <x:v>0</x:v>
      </x:c>
      <x:c r="K165" s="6" t="n">
        <x:v>0</x:v>
      </x:c>
      <x:c r="L165" s="6" t="n">
        <x:v>0</x:v>
      </x:c>
      <x:c r="M165" s="6" t="n">
        <x:v>0</x:v>
      </x:c>
      <x:c r="N165" s="6" t="n">
        <x:v>0</x:v>
      </x:c>
      <x:c r="O165" s="6" t="n">
        <x:v>0</x:v>
      </x:c>
      <x:c r="P165" s="6" t="n">
        <x:v>0</x:v>
      </x:c>
      <x:c r="Q165" s="6" t="str">
        <x:v>unverified_offscreen_DOM</x:v>
      </x:c>
      <x:c r="R165" s="6" t="str">
        <x:v>2026</x:v>
      </x:c>
      <x:c r="S165" s="6" t="str">
        <x:v>Sep_Oct</x:v>
      </x:c>
      <x:c r="T165" s="6" t="d">
        <x:v>2026-10-18T21:59:55.000Z</x:v>
      </x:c>
      <x:c r="U165" s="6" t="str">
        <x:v>RESEARCH_WORKSPACE/ResearchTools/SaSa_Comment_Collection/data/instagram_browser/DeppGlOxgA4_1792433992025104000.json</x:v>
      </x:c>
      <x:c r="V165" s="6" t="str"/>
      <x:c r="W165" s="6" t="str">
        <x:v>not_reclassified</x:v>
      </x:c>
      <x:c r="X165" s="6" t="str">
        <x:v>No purchase inferred; see source review</x:v>
      </x:c>
      <x:c r="Y165" s="7" t="b">
        <x:v>0</x:v>
      </x:c>
    </x:row>
    <x:row r="166" ht="52" customHeight="1">
      <x:c r="A166" s="6" t="str">
        <x:v>instagram_18134477980675608</x:v>
      </x:c>
      <x:c r="B166" s="6" t="str">
        <x:v>instagram_DeppGlOxgA4</x:v>
      </x:c>
      <x:c r="C166" s="6" t="str">
        <x:v>Instagram</x:v>
      </x:c>
      <x:c r="D166" s="6" t="str">
        <x:v>pending_evidence</x:v>
      </x:c>
      <x:c r="E166" s="6" t="str">
        <x:v>Nossa eu amei demais. Você arrasa demais.</x:v>
      </x:c>
      <x:c r="F166" s="6" t="str"/>
      <x:c r="G166" s="6" t="str">
        <x:v>Nossa eu amei demais. Você arrasa demais.</x:v>
      </x:c>
      <x:c r="H166" s="6" t="str"/>
      <x:c r="I166" s="6" t="n">
        <x:v>1</x:v>
      </x:c>
      <x:c r="J166" s="6" t="n">
        <x:v>0</x:v>
      </x:c>
      <x:c r="K166" s="6" t="n">
        <x:v>0</x:v>
      </x:c>
      <x:c r="L166" s="6" t="n">
        <x:v>0</x:v>
      </x:c>
      <x:c r="M166" s="6" t="n">
        <x:v>0</x:v>
      </x:c>
      <x:c r="N166" s="6" t="n">
        <x:v>0</x:v>
      </x:c>
      <x:c r="O166" s="6" t="n">
        <x:v>0</x:v>
      </x:c>
      <x:c r="P166" s="6" t="n">
        <x:v>0</x:v>
      </x:c>
      <x:c r="Q166" s="6" t="str">
        <x:v>unverified_offscreen_DOM</x:v>
      </x:c>
      <x:c r="R166" s="6" t="str">
        <x:v>2026</x:v>
      </x:c>
      <x:c r="S166" s="6" t="str">
        <x:v>Sep_Oct</x:v>
      </x:c>
      <x:c r="T166" s="6" t="d">
        <x:v>2026-10-19T01:20:38.000Z</x:v>
      </x:c>
      <x:c r="U166" s="6" t="str">
        <x:v>RESEARCH_WORKSPACE/ResearchTools/SaSa_Comment_Collection/data/instagram_browser/DeppGlOxgA4_1792433992025104000.json</x:v>
      </x:c>
      <x:c r="V166" s="6" t="str"/>
      <x:c r="W166" s="6" t="str">
        <x:v>not_reclassified</x:v>
      </x:c>
      <x:c r="X166" s="6" t="str">
        <x:v>No purchase inferred; see source review</x:v>
      </x:c>
      <x:c r="Y166" s="7" t="b">
        <x:v>0</x:v>
      </x:c>
    </x:row>
    <x:row r="167" ht="52" customHeight="1">
      <x:c r="A167" s="6" t="str">
        <x:v>instagram_18339729463274292</x:v>
      </x:c>
      <x:c r="B167" s="6" t="str">
        <x:v>instagram_DeppGlOxgA4</x:v>
      </x:c>
      <x:c r="C167" s="6" t="str">
        <x:v>Instagram</x:v>
      </x:c>
      <x:c r="D167" s="6" t="str">
        <x:v>pending_evidence</x:v>
      </x:c>
      <x:c r="E167" s="6" t="str">
        <x:v>Moçaaaaaa .. vc arrasou!!!
Que horripilante essa make!! 😬
👏🏻👏🏻👏🏻👏🏻👏🏻👏🏻👏🏻👏🏻</x:v>
      </x:c>
      <x:c r="F167" s="6" t="str"/>
      <x:c r="G167" s="6" t="str">
        <x:v>Moçaaaaaa .. vc arrasou!!!
Que horripilante essa make!! 😬
👏🏻👏🏻👏🏻👏🏻👏🏻👏🏻👏🏻👏🏻</x:v>
      </x:c>
      <x:c r="H167" s="6" t="str">
        <x:v>Horrifying is praise in context of congratulations/clapping</x:v>
      </x:c>
      <x:c r="I167" s="6" t="n">
        <x:v>1</x:v>
      </x:c>
      <x:c r="J167" s="6" t="n">
        <x:v>0</x:v>
      </x:c>
      <x:c r="K167" s="6" t="n">
        <x:v>0</x:v>
      </x:c>
      <x:c r="L167" s="6" t="n">
        <x:v>0</x:v>
      </x:c>
      <x:c r="M167" s="6" t="n">
        <x:v>0</x:v>
      </x:c>
      <x:c r="N167" s="6" t="n">
        <x:v>0</x:v>
      </x:c>
      <x:c r="O167" s="6" t="n">
        <x:v>0</x:v>
      </x:c>
      <x:c r="P167" s="6" t="n">
        <x:v>0</x:v>
      </x:c>
      <x:c r="Q167" s="6" t="str">
        <x:v>unverified_offscreen_DOM</x:v>
      </x:c>
      <x:c r="R167" s="6" t="str">
        <x:v>2026</x:v>
      </x:c>
      <x:c r="S167" s="6" t="str">
        <x:v>Sep_Oct</x:v>
      </x:c>
      <x:c r="T167" s="6" t="d">
        <x:v>2026-10-19T02:13:02.000Z</x:v>
      </x:c>
      <x:c r="U167" s="6" t="str">
        <x:v>RESEARCH_WORKSPACE/ResearchTools/SaSa_Comment_Collection/data/instagram_browser/DeppGlOxgA4_1792433992025104000.json</x:v>
      </x:c>
      <x:c r="V167" s="6" t="str"/>
      <x:c r="W167" s="6" t="str">
        <x:v>not_reclassified</x:v>
      </x:c>
      <x:c r="X167" s="6" t="str">
        <x:v>No purchase inferred; see source review</x:v>
      </x:c>
      <x:c r="Y167" s="7" t="b">
        <x:v>0</x:v>
      </x:c>
    </x:row>
    <x:row r="168" ht="66" customHeight="1">
      <x:c r="A168" s="6" t="str">
        <x:v>instagram_18084093167113477</x:v>
      </x:c>
      <x:c r="B168" s="6" t="str">
        <x:v>instagram_DPRfaCiDD7n</x:v>
      </x:c>
      <x:c r="C168" s="6" t="str">
        <x:v>Instagram</x:v>
      </x:c>
      <x:c r="D168" s="6" t="str">
        <x:v>pending_evidence</x:v>
      </x:c>
      <x:c r="E168" s="6" t="str">
        <x:v>nice lenses😍</x:v>
      </x:c>
      <x:c r="F168" s="6" t="str"/>
      <x:c r="G168" s="6" t="str"/>
      <x:c r="H168" s="6" t="str">
        <x:v>Default displayed order; comments trend newest-first in this capture, not a verified sort setting. Several screenshots show signup overlay. Preserve raw, do not treat as complete verified sample. </x:v>
      </x:c>
      <x:c r="I168" s="6" t="n">
        <x:v>0</x:v>
      </x:c>
      <x:c r="J168" s="6" t="n">
        <x:v>0</x:v>
      </x:c>
      <x:c r="K168" s="6" t="n">
        <x:v>0</x:v>
      </x:c>
      <x:c r="L168" s="6" t="n">
        <x:v>0</x:v>
      </x:c>
      <x:c r="M168" s="6" t="n">
        <x:v>0</x:v>
      </x:c>
      <x:c r="N168" s="6" t="n">
        <x:v>0</x:v>
      </x:c>
      <x:c r="O168" s="6" t="n">
        <x:v>0</x:v>
      </x:c>
      <x:c r="P168" s="6" t="n">
        <x:v>0</x:v>
      </x:c>
      <x:c r="Q168" s="6" t="str">
        <x:v>unverified</x:v>
      </x:c>
      <x:c r="R168" s="6" t="str">
        <x:v>2025</x:v>
      </x:c>
      <x:c r="S168" s="6" t="str">
        <x:v>other_month</x:v>
      </x:c>
      <x:c r="T168" s="6" t="d">
        <x:v>2025-12-19T03:11:38.000Z</x:v>
      </x:c>
      <x:c r="U168" s="6" t="str">
        <x:v>RESEARCH_WORKSPACE/ResearchTools/SaSa_Comment_Collection/data/instagram_historical/DPRfaCiDD7n_1792434597094325000.json</x:v>
      </x:c>
      <x:c r="V168" s="6" t="str"/>
      <x:c r="W168" s="6" t="str">
        <x:v>not_reclassified</x:v>
      </x:c>
      <x:c r="X168" s="6" t="str">
        <x:v>No purchase inferred; see source review</x:v>
      </x:c>
      <x:c r="Y168" s="7" t="b">
        <x:v>0</x:v>
      </x:c>
    </x:row>
    <x:row r="169" ht="66" customHeight="1">
      <x:c r="A169" s="6" t="str">
        <x:v>instagram_17907332958144614</x:v>
      </x:c>
      <x:c r="B169" s="6" t="str">
        <x:v>instagram_DPRfaCiDD7n</x:v>
      </x:c>
      <x:c r="C169" s="6" t="str">
        <x:v>Instagram</x:v>
      </x:c>
      <x:c r="D169" s="6" t="str">
        <x:v>pending_evidence</x:v>
      </x:c>
      <x:c r="E169" s="6" t="str">
        <x:v>l love thiss</x:v>
      </x:c>
      <x:c r="F169" s="6" t="str"/>
      <x:c r="G169" s="6" t="str"/>
      <x:c r="H169" s="6" t="str">
        <x:v>Default displayed order; comments trend newest-first in this capture, not a verified sort setting. Several screenshots show signup overlay. Preserve raw, do not treat as complete verified sample. </x:v>
      </x:c>
      <x:c r="I169" s="6" t="n">
        <x:v>0</x:v>
      </x:c>
      <x:c r="J169" s="6" t="n">
        <x:v>0</x:v>
      </x:c>
      <x:c r="K169" s="6" t="n">
        <x:v>0</x:v>
      </x:c>
      <x:c r="L169" s="6" t="n">
        <x:v>0</x:v>
      </x:c>
      <x:c r="M169" s="6" t="n">
        <x:v>0</x:v>
      </x:c>
      <x:c r="N169" s="6" t="n">
        <x:v>0</x:v>
      </x:c>
      <x:c r="O169" s="6" t="n">
        <x:v>0</x:v>
      </x:c>
      <x:c r="P169" s="6" t="n">
        <x:v>0</x:v>
      </x:c>
      <x:c r="Q169" s="6" t="str">
        <x:v>unverified</x:v>
      </x:c>
      <x:c r="R169" s="6" t="str">
        <x:v>2025</x:v>
      </x:c>
      <x:c r="S169" s="6" t="str">
        <x:v>other_month</x:v>
      </x:c>
      <x:c r="T169" s="6" t="d">
        <x:v>2025-12-18T15:46:37.000Z</x:v>
      </x:c>
      <x:c r="U169" s="6" t="str">
        <x:v>RESEARCH_WORKSPACE/ResearchTools/SaSa_Comment_Collection/data/instagram_historical/DPRfaCiDD7n_1792434597094325000.json</x:v>
      </x:c>
      <x:c r="V169" s="6" t="str"/>
      <x:c r="W169" s="6" t="str">
        <x:v>not_reclassified</x:v>
      </x:c>
      <x:c r="X169" s="6" t="str">
        <x:v>No purchase inferred; see source review</x:v>
      </x:c>
      <x:c r="Y169" s="7" t="b">
        <x:v>0</x:v>
      </x:c>
    </x:row>
    <x:row r="170" ht="66" customHeight="1">
      <x:c r="A170" s="6" t="str">
        <x:v>instagram_18138895612461112</x:v>
      </x:c>
      <x:c r="B170" s="6" t="str">
        <x:v>instagram_DPRfaCiDD7n</x:v>
      </x:c>
      <x:c r="C170" s="6" t="str">
        <x:v>Instagram</x:v>
      </x:c>
      <x:c r="D170" s="6" t="str">
        <x:v>pending_evidence</x:v>
      </x:c>
      <x:c r="E170" s="6" t="str">
        <x:v>❤️❤️</x:v>
      </x:c>
      <x:c r="F170" s="6" t="str"/>
      <x:c r="G170" s="6" t="str"/>
      <x:c r="H170" s="6" t="str">
        <x:v>Default displayed order; comments trend newest-first in this capture, not a verified sort setting. Several screenshots show signup overlay. Preserve raw, do not treat as complete verified sample. </x:v>
      </x:c>
      <x:c r="I170" s="6" t="n">
        <x:v>0</x:v>
      </x:c>
      <x:c r="J170" s="6" t="n">
        <x:v>0</x:v>
      </x:c>
      <x:c r="K170" s="6" t="n">
        <x:v>0</x:v>
      </x:c>
      <x:c r="L170" s="6" t="n">
        <x:v>0</x:v>
      </x:c>
      <x:c r="M170" s="6" t="n">
        <x:v>0</x:v>
      </x:c>
      <x:c r="N170" s="6" t="n">
        <x:v>0</x:v>
      </x:c>
      <x:c r="O170" s="6" t="n">
        <x:v>0</x:v>
      </x:c>
      <x:c r="P170" s="6" t="n">
        <x:v>0</x:v>
      </x:c>
      <x:c r="Q170" s="6" t="str">
        <x:v>unverified</x:v>
      </x:c>
      <x:c r="R170" s="6" t="str">
        <x:v>2025</x:v>
      </x:c>
      <x:c r="S170" s="6" t="str">
        <x:v>other_month</x:v>
      </x:c>
      <x:c r="T170" s="6" t="d">
        <x:v>2025-12-13T01:00:43.000Z</x:v>
      </x:c>
      <x:c r="U170" s="6" t="str">
        <x:v>RESEARCH_WORKSPACE/ResearchTools/SaSa_Comment_Collection/data/instagram_historical/DPRfaCiDD7n_1792434597094325000.json</x:v>
      </x:c>
      <x:c r="V170" s="6" t="str"/>
      <x:c r="W170" s="6" t="str">
        <x:v>not_reclassified</x:v>
      </x:c>
      <x:c r="X170" s="6" t="str">
        <x:v>No purchase inferred; see source review</x:v>
      </x:c>
      <x:c r="Y170" s="7" t="b">
        <x:v>0</x:v>
      </x:c>
    </x:row>
    <x:row r="171" ht="66" customHeight="1">
      <x:c r="A171" s="6" t="str">
        <x:v>instagram_18329635168245318</x:v>
      </x:c>
      <x:c r="B171" s="6" t="str">
        <x:v>instagram_DPRfaCiDD7n</x:v>
      </x:c>
      <x:c r="C171" s="6" t="str">
        <x:v>Instagram</x:v>
      </x:c>
      <x:c r="D171" s="6" t="str">
        <x:v>pending_evidence</x:v>
      </x:c>
      <x:c r="E171" s="6" t="str">
        <x:v>Cum makeup look 😍</x:v>
      </x:c>
      <x:c r="F171" s="6" t="str"/>
      <x:c r="G171" s="6" t="str"/>
      <x:c r="H171" s="6" t="str">
        <x:v>Default displayed order; comments trend newest-first in this capture, not a verified sort setting. Several screenshots show signup overlay. Preserve raw, do not treat as complete verified sample. </x:v>
      </x:c>
      <x:c r="I171" s="6" t="n">
        <x:v>0</x:v>
      </x:c>
      <x:c r="J171" s="6" t="n">
        <x:v>0</x:v>
      </x:c>
      <x:c r="K171" s="6" t="n">
        <x:v>0</x:v>
      </x:c>
      <x:c r="L171" s="6" t="n">
        <x:v>0</x:v>
      </x:c>
      <x:c r="M171" s="6" t="n">
        <x:v>0</x:v>
      </x:c>
      <x:c r="N171" s="6" t="n">
        <x:v>0</x:v>
      </x:c>
      <x:c r="O171" s="6" t="n">
        <x:v>0</x:v>
      </x:c>
      <x:c r="P171" s="6" t="n">
        <x:v>0</x:v>
      </x:c>
      <x:c r="Q171" s="6" t="str">
        <x:v>unverified</x:v>
      </x:c>
      <x:c r="R171" s="6" t="str">
        <x:v>2025</x:v>
      </x:c>
      <x:c r="S171" s="6" t="str">
        <x:v>other_month</x:v>
      </x:c>
      <x:c r="T171" s="6" t="d">
        <x:v>2025-11-27T08:41:24.000Z</x:v>
      </x:c>
      <x:c r="U171" s="6" t="str">
        <x:v>RESEARCH_WORKSPACE/ResearchTools/SaSa_Comment_Collection/data/instagram_historical/DPRfaCiDD7n_1792434597094325000.json</x:v>
      </x:c>
      <x:c r="V171" s="6" t="str"/>
      <x:c r="W171" s="6" t="str">
        <x:v>not_reclassified</x:v>
      </x:c>
      <x:c r="X171" s="6" t="str">
        <x:v>No purchase inferred; see source review</x:v>
      </x:c>
      <x:c r="Y171" s="7" t="b">
        <x:v>0</x:v>
      </x:c>
    </x:row>
    <x:row r="172" ht="66" customHeight="1">
      <x:c r="A172" s="6" t="str">
        <x:v>instagram_17867021337485077</x:v>
      </x:c>
      <x:c r="B172" s="6" t="str">
        <x:v>instagram_DPRfaCiDD7n</x:v>
      </x:c>
      <x:c r="C172" s="6" t="str">
        <x:v>Instagram</x:v>
      </x:c>
      <x:c r="D172" s="6" t="str">
        <x:v>pending_evidence</x:v>
      </x:c>
      <x:c r="E172" s="6" t="str">
        <x:v>Such a gorgeous look! 💕💫</x:v>
      </x:c>
      <x:c r="F172" s="6" t="str"/>
      <x:c r="G172" s="6" t="str"/>
      <x:c r="H172" s="6" t="str">
        <x:v>Default displayed order; comments trend newest-first in this capture, not a verified sort setting. Several screenshots show signup overlay. Preserve raw, do not treat as complete verified sample. </x:v>
      </x:c>
      <x:c r="I172" s="6" t="n">
        <x:v>0</x:v>
      </x:c>
      <x:c r="J172" s="6" t="n">
        <x:v>0</x:v>
      </x:c>
      <x:c r="K172" s="6" t="n">
        <x:v>0</x:v>
      </x:c>
      <x:c r="L172" s="6" t="n">
        <x:v>0</x:v>
      </x:c>
      <x:c r="M172" s="6" t="n">
        <x:v>0</x:v>
      </x:c>
      <x:c r="N172" s="6" t="n">
        <x:v>0</x:v>
      </x:c>
      <x:c r="O172" s="6" t="n">
        <x:v>0</x:v>
      </x:c>
      <x:c r="P172" s="6" t="n">
        <x:v>0</x:v>
      </x:c>
      <x:c r="Q172" s="6" t="str">
        <x:v>unverified</x:v>
      </x:c>
      <x:c r="R172" s="6" t="str">
        <x:v>2025</x:v>
      </x:c>
      <x:c r="S172" s="6" t="str">
        <x:v>other_month</x:v>
      </x:c>
      <x:c r="T172" s="6" t="d">
        <x:v>2025-11-25T21:21:06.000Z</x:v>
      </x:c>
      <x:c r="U172" s="6" t="str">
        <x:v>RESEARCH_WORKSPACE/ResearchTools/SaSa_Comment_Collection/data/instagram_historical/DPRfaCiDD7n_1792434597094325000.json</x:v>
      </x:c>
      <x:c r="V172" s="6" t="str"/>
      <x:c r="W172" s="6" t="str">
        <x:v>not_reclassified</x:v>
      </x:c>
      <x:c r="X172" s="6" t="str">
        <x:v>No purchase inferred; see source review</x:v>
      </x:c>
      <x:c r="Y172" s="7" t="b">
        <x:v>0</x:v>
      </x:c>
    </x:row>
    <x:row r="173" ht="66" customHeight="1">
      <x:c r="A173" s="6" t="str">
        <x:v>instagram_18083021522093562</x:v>
      </x:c>
      <x:c r="B173" s="6" t="str">
        <x:v>instagram_DPRfaCiDD7n</x:v>
      </x:c>
      <x:c r="C173" s="6" t="str">
        <x:v>Instagram</x:v>
      </x:c>
      <x:c r="D173" s="6" t="str">
        <x:v>pending_evidence</x:v>
      </x:c>
      <x:c r="E173" s="6" t="str">
        <x:v>😍😍</x:v>
      </x:c>
      <x:c r="F173" s="6" t="str"/>
      <x:c r="G173" s="6" t="str"/>
      <x:c r="H173" s="6" t="str">
        <x:v>Default displayed order; comments trend newest-first in this capture, not a verified sort setting. Several screenshots show signup overlay. Preserve raw, do not treat as complete verified sample. </x:v>
      </x:c>
      <x:c r="I173" s="6" t="n">
        <x:v>0</x:v>
      </x:c>
      <x:c r="J173" s="6" t="n">
        <x:v>0</x:v>
      </x:c>
      <x:c r="K173" s="6" t="n">
        <x:v>0</x:v>
      </x:c>
      <x:c r="L173" s="6" t="n">
        <x:v>0</x:v>
      </x:c>
      <x:c r="M173" s="6" t="n">
        <x:v>0</x:v>
      </x:c>
      <x:c r="N173" s="6" t="n">
        <x:v>0</x:v>
      </x:c>
      <x:c r="O173" s="6" t="n">
        <x:v>0</x:v>
      </x:c>
      <x:c r="P173" s="6" t="n">
        <x:v>0</x:v>
      </x:c>
      <x:c r="Q173" s="6" t="str">
        <x:v>unverified</x:v>
      </x:c>
      <x:c r="R173" s="6" t="str">
        <x:v>2025</x:v>
      </x:c>
      <x:c r="S173" s="6" t="str">
        <x:v>other_month</x:v>
      </x:c>
      <x:c r="T173" s="6" t="d">
        <x:v>2025-11-25T09:45:26.000Z</x:v>
      </x:c>
      <x:c r="U173" s="6" t="str">
        <x:v>RESEARCH_WORKSPACE/ResearchTools/SaSa_Comment_Collection/data/instagram_historical/DPRfaCiDD7n_1792434597094325000.json</x:v>
      </x:c>
      <x:c r="V173" s="6" t="str"/>
      <x:c r="W173" s="6" t="str">
        <x:v>not_reclassified</x:v>
      </x:c>
      <x:c r="X173" s="6" t="str">
        <x:v>No purchase inferred; see source review</x:v>
      </x:c>
      <x:c r="Y173" s="7" t="b">
        <x:v>0</x:v>
      </x:c>
    </x:row>
    <x:row r="174" ht="66" customHeight="1">
      <x:c r="A174" s="6" t="str">
        <x:v>instagram_18055390595640847</x:v>
      </x:c>
      <x:c r="B174" s="6" t="str">
        <x:v>instagram_DPRfaCiDD7n</x:v>
      </x:c>
      <x:c r="C174" s="6" t="str">
        <x:v>Instagram</x:v>
      </x:c>
      <x:c r="D174" s="6" t="str">
        <x:v>pending_evidence</x:v>
      </x:c>
      <x:c r="E174" s="6" t="str">
        <x:v>It’s not hallween</x:v>
      </x:c>
      <x:c r="F174" s="6" t="str"/>
      <x:c r="G174" s="6" t="str"/>
      <x:c r="H174" s="6" t="str">
        <x:v>Default displayed order; comments trend newest-first in this capture, not a verified sort setting. Several screenshots show signup overlay. Preserve raw, do not treat as complete verified sample. </x:v>
      </x:c>
      <x:c r="I174" s="6" t="n">
        <x:v>0</x:v>
      </x:c>
      <x:c r="J174" s="6" t="n">
        <x:v>0</x:v>
      </x:c>
      <x:c r="K174" s="6" t="n">
        <x:v>0</x:v>
      </x:c>
      <x:c r="L174" s="6" t="n">
        <x:v>0</x:v>
      </x:c>
      <x:c r="M174" s="6" t="n">
        <x:v>0</x:v>
      </x:c>
      <x:c r="N174" s="6" t="n">
        <x:v>0</x:v>
      </x:c>
      <x:c r="O174" s="6" t="n">
        <x:v>0</x:v>
      </x:c>
      <x:c r="P174" s="6" t="n">
        <x:v>0</x:v>
      </x:c>
      <x:c r="Q174" s="6" t="str">
        <x:v>unverified</x:v>
      </x:c>
      <x:c r="R174" s="6" t="str">
        <x:v>2025</x:v>
      </x:c>
      <x:c r="S174" s="6" t="str">
        <x:v>other_month</x:v>
      </x:c>
      <x:c r="T174" s="6" t="d">
        <x:v>2025-11-08T12:41:24.000Z</x:v>
      </x:c>
      <x:c r="U174" s="6" t="str">
        <x:v>RESEARCH_WORKSPACE/ResearchTools/SaSa_Comment_Collection/data/instagram_historical/DPRfaCiDD7n_1792434597094325000.json</x:v>
      </x:c>
      <x:c r="V174" s="6" t="str"/>
      <x:c r="W174" s="6" t="str">
        <x:v>not_reclassified</x:v>
      </x:c>
      <x:c r="X174" s="6" t="str">
        <x:v>No purchase inferred; see source review</x:v>
      </x:c>
      <x:c r="Y174" s="7" t="b">
        <x:v>0</x:v>
      </x:c>
    </x:row>
    <x:row r="175" ht="66" customHeight="1">
      <x:c r="A175" s="6" t="str">
        <x:v>instagram_18539514577034427</x:v>
      </x:c>
      <x:c r="B175" s="6" t="str">
        <x:v>instagram_DPRfaCiDD7n</x:v>
      </x:c>
      <x:c r="C175" s="6" t="str">
        <x:v>Instagram</x:v>
      </x:c>
      <x:c r="D175" s="6" t="str">
        <x:v>pending_evidence</x:v>
      </x:c>
      <x:c r="E175" s="6" t="str">
        <x:v>Literally makeup goals😫</x:v>
      </x:c>
      <x:c r="F175" s="6" t="str"/>
      <x:c r="G175" s="6" t="str"/>
      <x:c r="H175" s="6" t="str">
        <x:v>Default displayed order; comments trend newest-first in this capture, not a verified sort setting. Several screenshots show signup overlay. Preserve raw, do not treat as complete verified sample. </x:v>
      </x:c>
      <x:c r="I175" s="6" t="n">
        <x:v>0</x:v>
      </x:c>
      <x:c r="J175" s="6" t="n">
        <x:v>0</x:v>
      </x:c>
      <x:c r="K175" s="6" t="n">
        <x:v>0</x:v>
      </x:c>
      <x:c r="L175" s="6" t="n">
        <x:v>0</x:v>
      </x:c>
      <x:c r="M175" s="6" t="n">
        <x:v>0</x:v>
      </x:c>
      <x:c r="N175" s="6" t="n">
        <x:v>0</x:v>
      </x:c>
      <x:c r="O175" s="6" t="n">
        <x:v>0</x:v>
      </x:c>
      <x:c r="P175" s="6" t="n">
        <x:v>0</x:v>
      </x:c>
      <x:c r="Q175" s="6" t="str">
        <x:v>unverified</x:v>
      </x:c>
      <x:c r="R175" s="6" t="str">
        <x:v>2025</x:v>
      </x:c>
      <x:c r="S175" s="6" t="str">
        <x:v>other_month</x:v>
      </x:c>
      <x:c r="T175" s="6" t="d">
        <x:v>2025-11-02T21:25:50.000Z</x:v>
      </x:c>
      <x:c r="U175" s="6" t="str">
        <x:v>RESEARCH_WORKSPACE/ResearchTools/SaSa_Comment_Collection/data/instagram_historical/DPRfaCiDD7n_1792434597094325000.json</x:v>
      </x:c>
      <x:c r="V175" s="6" t="str"/>
      <x:c r="W175" s="6" t="str">
        <x:v>not_reclassified</x:v>
      </x:c>
      <x:c r="X175" s="6" t="str">
        <x:v>No purchase inferred; see source review</x:v>
      </x:c>
      <x:c r="Y175" s="7" t="b">
        <x:v>0</x:v>
      </x:c>
    </x:row>
    <x:row r="176" ht="66" customHeight="1">
      <x:c r="A176" s="6" t="str">
        <x:v>instagram_18046062962419783</x:v>
      </x:c>
      <x:c r="B176" s="6" t="str">
        <x:v>instagram_DPRfaCiDD7n</x:v>
      </x:c>
      <x:c r="C176" s="6" t="str">
        <x:v>Instagram</x:v>
      </x:c>
      <x:c r="D176" s="6" t="str">
        <x:v>pending_evidence</x:v>
      </x:c>
      <x:c r="E176" s="6" t="str">
        <x:v>😍</x:v>
      </x:c>
      <x:c r="F176" s="6" t="str"/>
      <x:c r="G176" s="6" t="str"/>
      <x:c r="H176" s="6" t="str">
        <x:v>Default displayed order; comments trend newest-first in this capture, not a verified sort setting. Several screenshots show signup overlay. Preserve raw, do not treat as complete verified sample. </x:v>
      </x:c>
      <x:c r="I176" s="6" t="n">
        <x:v>0</x:v>
      </x:c>
      <x:c r="J176" s="6" t="n">
        <x:v>0</x:v>
      </x:c>
      <x:c r="K176" s="6" t="n">
        <x:v>0</x:v>
      </x:c>
      <x:c r="L176" s="6" t="n">
        <x:v>0</x:v>
      </x:c>
      <x:c r="M176" s="6" t="n">
        <x:v>0</x:v>
      </x:c>
      <x:c r="N176" s="6" t="n">
        <x:v>0</x:v>
      </x:c>
      <x:c r="O176" s="6" t="n">
        <x:v>0</x:v>
      </x:c>
      <x:c r="P176" s="6" t="n">
        <x:v>0</x:v>
      </x:c>
      <x:c r="Q176" s="6" t="str">
        <x:v>unverified</x:v>
      </x:c>
      <x:c r="R176" s="6" t="str">
        <x:v>2025</x:v>
      </x:c>
      <x:c r="S176" s="6" t="str">
        <x:v>other_month</x:v>
      </x:c>
      <x:c r="T176" s="6" t="d">
        <x:v>2025-11-01T10:08:16.000Z</x:v>
      </x:c>
      <x:c r="U176" s="6" t="str">
        <x:v>RESEARCH_WORKSPACE/ResearchTools/SaSa_Comment_Collection/data/instagram_historical/DPRfaCiDD7n_1792434597094325000.json</x:v>
      </x:c>
      <x:c r="V176" s="6" t="str"/>
      <x:c r="W176" s="6" t="str">
        <x:v>not_reclassified</x:v>
      </x:c>
      <x:c r="X176" s="6" t="str">
        <x:v>No purchase inferred; see source review</x:v>
      </x:c>
      <x:c r="Y176" s="7" t="b">
        <x:v>0</x:v>
      </x:c>
    </x:row>
    <x:row r="177" ht="66" customHeight="1">
      <x:c r="A177" s="6" t="str">
        <x:v>instagram_18326936011210649</x:v>
      </x:c>
      <x:c r="B177" s="6" t="str">
        <x:v>instagram_DPRfaCiDD7n</x:v>
      </x:c>
      <x:c r="C177" s="6" t="str">
        <x:v>Instagram</x:v>
      </x:c>
      <x:c r="D177" s="6" t="str">
        <x:v>pending_evidence</x:v>
      </x:c>
      <x:c r="E177" s="6" t="str">
        <x:v>@[anonymised] 👻👻👻</x:v>
      </x:c>
      <x:c r="F177" s="6" t="str"/>
      <x:c r="G177" s="6" t="str"/>
      <x:c r="H177" s="6" t="str">
        <x:v>Default displayed order; comments trend newest-first in this capture, not a verified sort setting. Several screenshots show signup overlay. Preserve raw, do not treat as complete verified sample. </x:v>
      </x:c>
      <x:c r="I177" s="6" t="n">
        <x:v>0</x:v>
      </x:c>
      <x:c r="J177" s="6" t="n">
        <x:v>0</x:v>
      </x:c>
      <x:c r="K177" s="6" t="n">
        <x:v>0</x:v>
      </x:c>
      <x:c r="L177" s="6" t="n">
        <x:v>0</x:v>
      </x:c>
      <x:c r="M177" s="6" t="n">
        <x:v>0</x:v>
      </x:c>
      <x:c r="N177" s="6" t="n">
        <x:v>0</x:v>
      </x:c>
      <x:c r="O177" s="6" t="n">
        <x:v>0</x:v>
      </x:c>
      <x:c r="P177" s="6" t="n">
        <x:v>0</x:v>
      </x:c>
      <x:c r="Q177" s="6" t="str">
        <x:v>unverified</x:v>
      </x:c>
      <x:c r="R177" s="6" t="str">
        <x:v>2025</x:v>
      </x:c>
      <x:c r="S177" s="6" t="str">
        <x:v>other_month</x:v>
      </x:c>
      <x:c r="T177" s="6" t="d">
        <x:v>2025-10-31T21:10:23.000Z</x:v>
      </x:c>
      <x:c r="U177" s="6" t="str">
        <x:v>RESEARCH_WORKSPACE/ResearchTools/SaSa_Comment_Collection/data/instagram_historical/DPRfaCiDD7n_1792434597094325000.json</x:v>
      </x:c>
      <x:c r="V177" s="6" t="str"/>
      <x:c r="W177" s="6" t="str">
        <x:v>not_reclassified</x:v>
      </x:c>
      <x:c r="X177" s="6" t="str">
        <x:v>No purchase inferred; see source review</x:v>
      </x:c>
      <x:c r="Y177" s="7" t="b">
        <x:v>0</x:v>
      </x:c>
    </x:row>
    <x:row r="178" ht="66" customHeight="1">
      <x:c r="A178" s="6" t="str">
        <x:v>instagram_18110086249590203</x:v>
      </x:c>
      <x:c r="B178" s="6" t="str">
        <x:v>instagram_DPRfaCiDD7n</x:v>
      </x:c>
      <x:c r="C178" s="6" t="str">
        <x:v>Instagram</x:v>
      </x:c>
      <x:c r="D178" s="6" t="str">
        <x:v>pending_evidence</x:v>
      </x:c>
      <x:c r="E178" s="6" t="str">
        <x:v>🔥🔥🔥🔥🔥🔥</x:v>
      </x:c>
      <x:c r="F178" s="6" t="str"/>
      <x:c r="G178" s="6" t="str"/>
      <x:c r="H178" s="6" t="str">
        <x:v>Default displayed order; comments trend newest-first in this capture, not a verified sort setting. Several screenshots show signup overlay. Preserve raw, do not treat as complete verified sample. </x:v>
      </x:c>
      <x:c r="I178" s="6" t="n">
        <x:v>0</x:v>
      </x:c>
      <x:c r="J178" s="6" t="n">
        <x:v>0</x:v>
      </x:c>
      <x:c r="K178" s="6" t="n">
        <x:v>0</x:v>
      </x:c>
      <x:c r="L178" s="6" t="n">
        <x:v>0</x:v>
      </x:c>
      <x:c r="M178" s="6" t="n">
        <x:v>0</x:v>
      </x:c>
      <x:c r="N178" s="6" t="n">
        <x:v>0</x:v>
      </x:c>
      <x:c r="O178" s="6" t="n">
        <x:v>0</x:v>
      </x:c>
      <x:c r="P178" s="6" t="n">
        <x:v>0</x:v>
      </x:c>
      <x:c r="Q178" s="6" t="str">
        <x:v>unverified</x:v>
      </x:c>
      <x:c r="R178" s="6" t="str">
        <x:v>2025</x:v>
      </x:c>
      <x:c r="S178" s="6" t="str">
        <x:v>other_month</x:v>
      </x:c>
      <x:c r="T178" s="6" t="d">
        <x:v>2025-10-31T19:16:23.000Z</x:v>
      </x:c>
      <x:c r="U178" s="6" t="str">
        <x:v>RESEARCH_WORKSPACE/ResearchTools/SaSa_Comment_Collection/data/instagram_historical/DPRfaCiDD7n_1792434597094325000.json</x:v>
      </x:c>
      <x:c r="V178" s="6" t="str"/>
      <x:c r="W178" s="6" t="str">
        <x:v>not_reclassified</x:v>
      </x:c>
      <x:c r="X178" s="6" t="str">
        <x:v>No purchase inferred; see source review</x:v>
      </x:c>
      <x:c r="Y178" s="7" t="b">
        <x:v>0</x:v>
      </x:c>
    </x:row>
    <x:row r="179" ht="94" customHeight="1">
      <x:c r="A179" s="6" t="str">
        <x:v>instagram_18360857530083720</x:v>
      </x:c>
      <x:c r="B179" s="6" t="str">
        <x:v>instagram_DPRfaCiDD7n</x:v>
      </x:c>
      <x:c r="C179" s="6" t="str">
        <x:v>Instagram</x:v>
      </x:c>
      <x:c r="D179" s="6" t="str">
        <x:v>valid</x:v>
      </x:c>
      <x:c r="E179" s="6" t="str">
        <x:v>Thats cute but I have like… no makeup 🙈🙈I have mascara? But like 5 more neutral eyeshadow colours. Any tips?</x:v>
      </x:c>
      <x:c r="F179" s="6" t="str"/>
      <x:c r="G179" s="6" t="str">
        <x:v>Thats cute but I have like… no makeup 🙈🙈I have mascara? But like 5 more neutral eyeshadow colours. Any tips?</x:v>
      </x:c>
      <x:c r="H179" s="6" t="str">
        <x:v>Default displayed order; comments trend newest-first in this capture, not a verified sort setting. Several screenshots show signup overlay. Preserve raw, do not treat as complete verified sample. Limited owned makeup inventory; asks for tips. T6 substitution is plausible but not explicitly stated.</x:v>
      </x:c>
      <x:c r="I179" s="6" t="n">
        <x:v>1</x:v>
      </x:c>
      <x:c r="J179" s="6" t="n">
        <x:v>1</x:v>
      </x:c>
      <x:c r="K179" s="6" t="n">
        <x:v>0</x:v>
      </x:c>
      <x:c r="L179" s="6" t="n">
        <x:v>0</x:v>
      </x:c>
      <x:c r="M179" s="6" t="n">
        <x:v>0</x:v>
      </x:c>
      <x:c r="N179" s="6" t="n">
        <x:v>0</x:v>
      </x:c>
      <x:c r="O179" s="6" t="n">
        <x:v>0</x:v>
      </x:c>
      <x:c r="P179" s="6" t="n">
        <x:v>0</x:v>
      </x:c>
      <x:c r="Q179" s="6" t="str">
        <x:v>top_level</x:v>
      </x:c>
      <x:c r="R179" s="6" t="str">
        <x:v>2025</x:v>
      </x:c>
      <x:c r="S179" s="6" t="str">
        <x:v>Sep_Oct</x:v>
      </x:c>
      <x:c r="T179" s="6" t="d">
        <x:v>2025-10-31T15:36:05.000Z</x:v>
      </x:c>
      <x:c r="U179" s="6" t="str">
        <x:v>RESEARCH_WORKSPACE/ResearchTools/SaSa_Comment_Collection/data/instagram_historical/DPRfaCiDD7n_1792434597094325000.json</x:v>
      </x:c>
      <x:c r="V179" s="6" t="str"/>
      <x:c r="W179" s="6" t="str">
        <x:v>not_reclassified</x:v>
      </x:c>
      <x:c r="X179" s="6" t="str">
        <x:v>No purchase inferred; see source review</x:v>
      </x:c>
      <x:c r="Y179" s="7" t="b">
        <x:v>0</x:v>
      </x:c>
    </x:row>
    <x:row r="180" ht="66" customHeight="1">
      <x:c r="A180" s="6" t="str">
        <x:v>instagram_18118118332529518</x:v>
      </x:c>
      <x:c r="B180" s="6" t="str">
        <x:v>instagram_DPRfaCiDD7n</x:v>
      </x:c>
      <x:c r="C180" s="6" t="str">
        <x:v>Instagram</x:v>
      </x:c>
      <x:c r="D180" s="6" t="str">
        <x:v>pending_evidence</x:v>
      </x:c>
      <x:c r="E180" s="6" t="str">
        <x:v>@[anonymised], @[anonymised]</x:v>
      </x:c>
      <x:c r="F180" s="6" t="str"/>
      <x:c r="G180" s="6" t="str"/>
      <x:c r="H180" s="6" t="str">
        <x:v>Default displayed order; comments trend newest-first in this capture, not a verified sort setting. Several screenshots show signup overlay. Preserve raw, do not treat as complete verified sample. </x:v>
      </x:c>
      <x:c r="I180" s="6" t="n">
        <x:v>0</x:v>
      </x:c>
      <x:c r="J180" s="6" t="n">
        <x:v>0</x:v>
      </x:c>
      <x:c r="K180" s="6" t="n">
        <x:v>0</x:v>
      </x:c>
      <x:c r="L180" s="6" t="n">
        <x:v>0</x:v>
      </x:c>
      <x:c r="M180" s="6" t="n">
        <x:v>0</x:v>
      </x:c>
      <x:c r="N180" s="6" t="n">
        <x:v>0</x:v>
      </x:c>
      <x:c r="O180" s="6" t="n">
        <x:v>0</x:v>
      </x:c>
      <x:c r="P180" s="6" t="n">
        <x:v>0</x:v>
      </x:c>
      <x:c r="Q180" s="6" t="str">
        <x:v>unverified</x:v>
      </x:c>
      <x:c r="R180" s="6" t="str">
        <x:v>2025</x:v>
      </x:c>
      <x:c r="S180" s="6" t="str">
        <x:v>Sep_Oct</x:v>
      </x:c>
      <x:c r="T180" s="6" t="d">
        <x:v>2025-10-31T15:29:56.000Z</x:v>
      </x:c>
      <x:c r="U180" s="6" t="str">
        <x:v>RESEARCH_WORKSPACE/ResearchTools/SaSa_Comment_Collection/data/instagram_historical/DPRfaCiDD7n_1792434597094325000.json</x:v>
      </x:c>
      <x:c r="V180" s="6" t="str"/>
      <x:c r="W180" s="6" t="str">
        <x:v>not_reclassified</x:v>
      </x:c>
      <x:c r="X180" s="6" t="str">
        <x:v>No purchase inferred; see source review</x:v>
      </x:c>
      <x:c r="Y180" s="7" t="b">
        <x:v>0</x:v>
      </x:c>
    </x:row>
    <x:row r="181" ht="66" customHeight="1">
      <x:c r="A181" s="6" t="str">
        <x:v>instagram_18088735994671703</x:v>
      </x:c>
      <x:c r="B181" s="6" t="str">
        <x:v>instagram_DA92M5qyQ9H</x:v>
      </x:c>
      <x:c r="C181" s="6" t="str">
        <x:v>Instagram</x:v>
      </x:c>
      <x:c r="D181" s="6" t="str">
        <x:v>pending_evidence</x:v>
      </x:c>
      <x:c r="E181" s="6" t="str">
        <x:v>❤️❤️</x:v>
      </x:c>
      <x:c r="F181" s="6" t="str"/>
      <x:c r="G181" s="6" t="str"/>
      <x:c r="H181" s="6" t="str">
        <x:v>Default displayed order; comments trend newest-first in this capture, not a verified sort setting. Several screenshots show signup overlay. Preserve raw, do not treat as complete verified sample. </x:v>
      </x:c>
      <x:c r="I181" s="6" t="n">
        <x:v>0</x:v>
      </x:c>
      <x:c r="J181" s="6" t="n">
        <x:v>0</x:v>
      </x:c>
      <x:c r="K181" s="6" t="n">
        <x:v>0</x:v>
      </x:c>
      <x:c r="L181" s="6" t="n">
        <x:v>0</x:v>
      </x:c>
      <x:c r="M181" s="6" t="n">
        <x:v>0</x:v>
      </x:c>
      <x:c r="N181" s="6" t="n">
        <x:v>0</x:v>
      </x:c>
      <x:c r="O181" s="6" t="n">
        <x:v>0</x:v>
      </x:c>
      <x:c r="P181" s="6" t="n">
        <x:v>0</x:v>
      </x:c>
      <x:c r="Q181" s="6" t="str">
        <x:v>unverified</x:v>
      </x:c>
      <x:c r="R181" s="6" t="str">
        <x:v>2026</x:v>
      </x:c>
      <x:c r="S181" s="6" t="str">
        <x:v>Sep_Oct</x:v>
      </x:c>
      <x:c r="T181" s="6" t="d">
        <x:v>2026-09-27T14:39:46.000Z</x:v>
      </x:c>
      <x:c r="U181" s="6" t="str">
        <x:v>RESEARCH_WORKSPACE/ResearchTools/SaSa_Comment_Collection/data/instagram_historical/DA92M5qyQ9H_1792434603497584000.json</x:v>
      </x:c>
      <x:c r="V181" s="6" t="str"/>
      <x:c r="W181" s="6" t="str">
        <x:v>not_reclassified</x:v>
      </x:c>
      <x:c r="X181" s="6" t="str">
        <x:v>No purchase inferred; see source review</x:v>
      </x:c>
      <x:c r="Y181" s="7" t="b">
        <x:v>0</x:v>
      </x:c>
    </x:row>
    <x:row r="182" ht="66" customHeight="1">
      <x:c r="A182" s="6" t="str">
        <x:v>instagram_18219302581337991</x:v>
      </x:c>
      <x:c r="B182" s="6" t="str">
        <x:v>instagram_DA92M5qyQ9H</x:v>
      </x:c>
      <x:c r="C182" s="6" t="str">
        <x:v>Instagram</x:v>
      </x:c>
      <x:c r="D182" s="6" t="str">
        <x:v>pending_evidence</x:v>
      </x:c>
      <x:c r="E182" s="6" t="str">
        <x:v>up</x:v>
      </x:c>
      <x:c r="F182" s="6" t="str"/>
      <x:c r="G182" s="6" t="str"/>
      <x:c r="H182" s="6" t="str">
        <x:v>Default displayed order; comments trend newest-first in this capture, not a verified sort setting. Several screenshots show signup overlay. Preserve raw, do not treat as complete verified sample. </x:v>
      </x:c>
      <x:c r="I182" s="6" t="n">
        <x:v>0</x:v>
      </x:c>
      <x:c r="J182" s="6" t="n">
        <x:v>0</x:v>
      </x:c>
      <x:c r="K182" s="6" t="n">
        <x:v>0</x:v>
      </x:c>
      <x:c r="L182" s="6" t="n">
        <x:v>0</x:v>
      </x:c>
      <x:c r="M182" s="6" t="n">
        <x:v>0</x:v>
      </x:c>
      <x:c r="N182" s="6" t="n">
        <x:v>0</x:v>
      </x:c>
      <x:c r="O182" s="6" t="n">
        <x:v>0</x:v>
      </x:c>
      <x:c r="P182" s="6" t="n">
        <x:v>0</x:v>
      </x:c>
      <x:c r="Q182" s="6" t="str">
        <x:v>unverified</x:v>
      </x:c>
      <x:c r="R182" s="6" t="str">
        <x:v>2026</x:v>
      </x:c>
      <x:c r="S182" s="6" t="str">
        <x:v>other_month</x:v>
      </x:c>
      <x:c r="T182" s="6" t="d">
        <x:v>2026-08-31T06:32:47.000Z</x:v>
      </x:c>
      <x:c r="U182" s="6" t="str">
        <x:v>RESEARCH_WORKSPACE/ResearchTools/SaSa_Comment_Collection/data/instagram_historical/DA92M5qyQ9H_1792434603497584000.json</x:v>
      </x:c>
      <x:c r="V182" s="6" t="str"/>
      <x:c r="W182" s="6" t="str">
        <x:v>not_reclassified</x:v>
      </x:c>
      <x:c r="X182" s="6" t="str">
        <x:v>No purchase inferred; see source review</x:v>
      </x:c>
      <x:c r="Y182" s="7" t="b">
        <x:v>0</x:v>
      </x:c>
    </x:row>
    <x:row r="183" ht="66" customHeight="1">
      <x:c r="A183" s="6" t="str">
        <x:v>instagram_18111159106964247</x:v>
      </x:c>
      <x:c r="B183" s="6" t="str">
        <x:v>instagram_DA92M5qyQ9H</x:v>
      </x:c>
      <x:c r="C183" s="6" t="str">
        <x:v>Instagram</x:v>
      </x:c>
      <x:c r="D183" s="6" t="str">
        <x:v>pending_evidence</x:v>
      </x:c>
      <x:c r="E183" s="6" t="str">
        <x:v>KARINA YOU LOOK LIKE ME</x:v>
      </x:c>
      <x:c r="F183" s="6" t="str"/>
      <x:c r="G183" s="6" t="str"/>
      <x:c r="H183" s="6" t="str">
        <x:v>Default displayed order; comments trend newest-first in this capture, not a verified sort setting. Several screenshots show signup overlay. Preserve raw, do not treat as complete verified sample. </x:v>
      </x:c>
      <x:c r="I183" s="6" t="n">
        <x:v>0</x:v>
      </x:c>
      <x:c r="J183" s="6" t="n">
        <x:v>0</x:v>
      </x:c>
      <x:c r="K183" s="6" t="n">
        <x:v>0</x:v>
      </x:c>
      <x:c r="L183" s="6" t="n">
        <x:v>0</x:v>
      </x:c>
      <x:c r="M183" s="6" t="n">
        <x:v>0</x:v>
      </x:c>
      <x:c r="N183" s="6" t="n">
        <x:v>0</x:v>
      </x:c>
      <x:c r="O183" s="6" t="n">
        <x:v>0</x:v>
      </x:c>
      <x:c r="P183" s="6" t="n">
        <x:v>0</x:v>
      </x:c>
      <x:c r="Q183" s="6" t="str">
        <x:v>unverified</x:v>
      </x:c>
      <x:c r="R183" s="6" t="str">
        <x:v>2026</x:v>
      </x:c>
      <x:c r="S183" s="6" t="str">
        <x:v>other_month</x:v>
      </x:c>
      <x:c r="T183" s="6" t="d">
        <x:v>2026-08-28T00:39:36.000Z</x:v>
      </x:c>
      <x:c r="U183" s="6" t="str">
        <x:v>RESEARCH_WORKSPACE/ResearchTools/SaSa_Comment_Collection/data/instagram_historical/DA92M5qyQ9H_1792434603497584000.json</x:v>
      </x:c>
      <x:c r="V183" s="6" t="str"/>
      <x:c r="W183" s="6" t="str">
        <x:v>not_reclassified</x:v>
      </x:c>
      <x:c r="X183" s="6" t="str">
        <x:v>No purchase inferred; see source review</x:v>
      </x:c>
      <x:c r="Y183" s="7" t="b">
        <x:v>0</x:v>
      </x:c>
    </x:row>
    <x:row r="184" ht="66" customHeight="1">
      <x:c r="A184" s="6" t="str">
        <x:v>instagram_18011940962747175</x:v>
      </x:c>
      <x:c r="B184" s="6" t="str">
        <x:v>instagram_DA92M5qyQ9H</x:v>
      </x:c>
      <x:c r="C184" s="6" t="str">
        <x:v>Instagram</x:v>
      </x:c>
      <x:c r="D184" s="6" t="str">
        <x:v>pending_evidence</x:v>
      </x:c>
      <x:c r="E184" s="6" t="str">
        <x:v>언니 좋아해요오~ 이유는… 언니니까!! 🤭💗</x:v>
      </x:c>
      <x:c r="F184" s="6" t="str"/>
      <x:c r="G184" s="6" t="str"/>
      <x:c r="H184" s="6" t="str">
        <x:v>Default displayed order; comments trend newest-first in this capture, not a verified sort setting. Several screenshots show signup overlay. Preserve raw, do not treat as complete verified sample. </x:v>
      </x:c>
      <x:c r="I184" s="6" t="n">
        <x:v>0</x:v>
      </x:c>
      <x:c r="J184" s="6" t="n">
        <x:v>0</x:v>
      </x:c>
      <x:c r="K184" s="6" t="n">
        <x:v>0</x:v>
      </x:c>
      <x:c r="L184" s="6" t="n">
        <x:v>0</x:v>
      </x:c>
      <x:c r="M184" s="6" t="n">
        <x:v>0</x:v>
      </x:c>
      <x:c r="N184" s="6" t="n">
        <x:v>0</x:v>
      </x:c>
      <x:c r="O184" s="6" t="n">
        <x:v>0</x:v>
      </x:c>
      <x:c r="P184" s="6" t="n">
        <x:v>0</x:v>
      </x:c>
      <x:c r="Q184" s="6" t="str">
        <x:v>unverified</x:v>
      </x:c>
      <x:c r="R184" s="6" t="str">
        <x:v>2026</x:v>
      </x:c>
      <x:c r="S184" s="6" t="str">
        <x:v>other_month</x:v>
      </x:c>
      <x:c r="T184" s="6" t="d">
        <x:v>2026-08-24T13:25:39.000Z</x:v>
      </x:c>
      <x:c r="U184" s="6" t="str">
        <x:v>RESEARCH_WORKSPACE/ResearchTools/SaSa_Comment_Collection/data/instagram_historical/DA92M5qyQ9H_1792434603497584000.json</x:v>
      </x:c>
      <x:c r="V184" s="6" t="str"/>
      <x:c r="W184" s="6" t="str">
        <x:v>not_reclassified</x:v>
      </x:c>
      <x:c r="X184" s="6" t="str">
        <x:v>No purchase inferred; see source review</x:v>
      </x:c>
      <x:c r="Y184" s="7" t="b">
        <x:v>0</x:v>
      </x:c>
    </x:row>
    <x:row r="185" ht="66" customHeight="1">
      <x:c r="A185" s="6" t="str">
        <x:v>instagram_17901638148482138</x:v>
      </x:c>
      <x:c r="B185" s="6" t="str">
        <x:v>instagram_DA92M5qyQ9H</x:v>
      </x:c>
      <x:c r="C185" s="6" t="str">
        <x:v>Instagram</x:v>
      </x:c>
      <x:c r="D185" s="6" t="str">
        <x:v>pending_evidence</x:v>
      </x:c>
      <x:c r="E185" s="6" t="str">
        <x:v>up</x:v>
      </x:c>
      <x:c r="F185" s="6" t="str"/>
      <x:c r="G185" s="6" t="str"/>
      <x:c r="H185" s="6" t="str">
        <x:v>Default displayed order; comments trend newest-first in this capture, not a verified sort setting. Several screenshots show signup overlay. Preserve raw, do not treat as complete verified sample. </x:v>
      </x:c>
      <x:c r="I185" s="6" t="n">
        <x:v>0</x:v>
      </x:c>
      <x:c r="J185" s="6" t="n">
        <x:v>0</x:v>
      </x:c>
      <x:c r="K185" s="6" t="n">
        <x:v>0</x:v>
      </x:c>
      <x:c r="L185" s="6" t="n">
        <x:v>0</x:v>
      </x:c>
      <x:c r="M185" s="6" t="n">
        <x:v>0</x:v>
      </x:c>
      <x:c r="N185" s="6" t="n">
        <x:v>0</x:v>
      </x:c>
      <x:c r="O185" s="6" t="n">
        <x:v>0</x:v>
      </x:c>
      <x:c r="P185" s="6" t="n">
        <x:v>0</x:v>
      </x:c>
      <x:c r="Q185" s="6" t="str">
        <x:v>unverified</x:v>
      </x:c>
      <x:c r="R185" s="6" t="str">
        <x:v>2026</x:v>
      </x:c>
      <x:c r="S185" s="6" t="str">
        <x:v>other_month</x:v>
      </x:c>
      <x:c r="T185" s="6" t="d">
        <x:v>2026-08-10T07:16:22.000Z</x:v>
      </x:c>
      <x:c r="U185" s="6" t="str">
        <x:v>RESEARCH_WORKSPACE/ResearchTools/SaSa_Comment_Collection/data/instagram_historical/DA92M5qyQ9H_1792434603497584000.json</x:v>
      </x:c>
      <x:c r="V185" s="6" t="str"/>
      <x:c r="W185" s="6" t="str">
        <x:v>not_reclassified</x:v>
      </x:c>
      <x:c r="X185" s="6" t="str">
        <x:v>No purchase inferred; see source review</x:v>
      </x:c>
      <x:c r="Y185" s="7" t="b">
        <x:v>0</x:v>
      </x:c>
    </x:row>
    <x:row r="186" ht="66" customHeight="1">
      <x:c r="A186" s="6" t="str">
        <x:v>instagram_17972607650923020</x:v>
      </x:c>
      <x:c r="B186" s="6" t="str">
        <x:v>instagram_DA92M5qyQ9H</x:v>
      </x:c>
      <x:c r="C186" s="6" t="str">
        <x:v>Instagram</x:v>
      </x:c>
      <x:c r="D186" s="6" t="str">
        <x:v>pending_evidence</x:v>
      </x:c>
      <x:c r="E186" s="6" t="str">
        <x:v>～</x:v>
      </x:c>
      <x:c r="F186" s="6" t="str"/>
      <x:c r="G186" s="6" t="str"/>
      <x:c r="H186" s="6" t="str">
        <x:v>Default displayed order; comments trend newest-first in this capture, not a verified sort setting. Several screenshots show signup overlay. Preserve raw, do not treat as complete verified sample. </x:v>
      </x:c>
      <x:c r="I186" s="6" t="n">
        <x:v>0</x:v>
      </x:c>
      <x:c r="J186" s="6" t="n">
        <x:v>0</x:v>
      </x:c>
      <x:c r="K186" s="6" t="n">
        <x:v>0</x:v>
      </x:c>
      <x:c r="L186" s="6" t="n">
        <x:v>0</x:v>
      </x:c>
      <x:c r="M186" s="6" t="n">
        <x:v>0</x:v>
      </x:c>
      <x:c r="N186" s="6" t="n">
        <x:v>0</x:v>
      </x:c>
      <x:c r="O186" s="6" t="n">
        <x:v>0</x:v>
      </x:c>
      <x:c r="P186" s="6" t="n">
        <x:v>0</x:v>
      </x:c>
      <x:c r="Q186" s="6" t="str">
        <x:v>unverified</x:v>
      </x:c>
      <x:c r="R186" s="6" t="str">
        <x:v>2026</x:v>
      </x:c>
      <x:c r="S186" s="6" t="str">
        <x:v>other_month</x:v>
      </x:c>
      <x:c r="T186" s="6" t="d">
        <x:v>2026-08-05T09:47:30.000Z</x:v>
      </x:c>
      <x:c r="U186" s="6" t="str">
        <x:v>RESEARCH_WORKSPACE/ResearchTools/SaSa_Comment_Collection/data/instagram_historical/DA92M5qyQ9H_1792434603497584000.json</x:v>
      </x:c>
      <x:c r="V186" s="6" t="str"/>
      <x:c r="W186" s="6" t="str">
        <x:v>not_reclassified</x:v>
      </x:c>
      <x:c r="X186" s="6" t="str">
        <x:v>No purchase inferred; see source review</x:v>
      </x:c>
      <x:c r="Y186" s="7" t="b">
        <x:v>0</x:v>
      </x:c>
    </x:row>
    <x:row r="187" ht="66" customHeight="1">
      <x:c r="A187" s="6" t="str">
        <x:v>instagram_17927272365145582</x:v>
      </x:c>
      <x:c r="B187" s="6" t="str">
        <x:v>instagram_DA92M5qyQ9H</x:v>
      </x:c>
      <x:c r="C187" s="6" t="str">
        <x:v>Instagram</x:v>
      </x:c>
      <x:c r="D187" s="6" t="str">
        <x:v>pending_evidence</x:v>
      </x:c>
      <x:c r="E187" s="6" t="str">
        <x:v>up</x:v>
      </x:c>
      <x:c r="F187" s="6" t="str"/>
      <x:c r="G187" s="6" t="str"/>
      <x:c r="H187" s="6" t="str">
        <x:v>Default displayed order; comments trend newest-first in this capture, not a verified sort setting. Several screenshots show signup overlay. Preserve raw, do not treat as complete verified sample. </x:v>
      </x:c>
      <x:c r="I187" s="6" t="n">
        <x:v>0</x:v>
      </x:c>
      <x:c r="J187" s="6" t="n">
        <x:v>0</x:v>
      </x:c>
      <x:c r="K187" s="6" t="n">
        <x:v>0</x:v>
      </x:c>
      <x:c r="L187" s="6" t="n">
        <x:v>0</x:v>
      </x:c>
      <x:c r="M187" s="6" t="n">
        <x:v>0</x:v>
      </x:c>
      <x:c r="N187" s="6" t="n">
        <x:v>0</x:v>
      </x:c>
      <x:c r="O187" s="6" t="n">
        <x:v>0</x:v>
      </x:c>
      <x:c r="P187" s="6" t="n">
        <x:v>0</x:v>
      </x:c>
      <x:c r="Q187" s="6" t="str">
        <x:v>unverified</x:v>
      </x:c>
      <x:c r="R187" s="6" t="str">
        <x:v>2026</x:v>
      </x:c>
      <x:c r="S187" s="6" t="str">
        <x:v>other_month</x:v>
      </x:c>
      <x:c r="T187" s="6" t="d">
        <x:v>2026-07-30T07:22:01.000Z</x:v>
      </x:c>
      <x:c r="U187" s="6" t="str">
        <x:v>RESEARCH_WORKSPACE/ResearchTools/SaSa_Comment_Collection/data/instagram_historical/DA92M5qyQ9H_1792434603497584000.json</x:v>
      </x:c>
      <x:c r="V187" s="6" t="str"/>
      <x:c r="W187" s="6" t="str">
        <x:v>not_reclassified</x:v>
      </x:c>
      <x:c r="X187" s="6" t="str">
        <x:v>No purchase inferred; see source review</x:v>
      </x:c>
      <x:c r="Y187" s="7" t="b">
        <x:v>0</x:v>
      </x:c>
    </x:row>
    <x:row r="188" ht="66" customHeight="1">
      <x:c r="A188" s="6" t="str">
        <x:v>instagram_18106592240022936</x:v>
      </x:c>
      <x:c r="B188" s="6" t="str">
        <x:v>instagram_DA92M5qyQ9H</x:v>
      </x:c>
      <x:c r="C188" s="6" t="str">
        <x:v>Instagram</x:v>
      </x:c>
      <x:c r="D188" s="6" t="str">
        <x:v>pending_evidence</x:v>
      </x:c>
      <x:c r="E188" s="6" t="str">
        <x:v>美得要命……好喜欢这一套</x:v>
      </x:c>
      <x:c r="F188" s="6" t="str"/>
      <x:c r="G188" s="6" t="str"/>
      <x:c r="H188" s="6" t="str">
        <x:v>Default displayed order; comments trend newest-first in this capture, not a verified sort setting. Several screenshots show signup overlay. Preserve raw, do not treat as complete verified sample. </x:v>
      </x:c>
      <x:c r="I188" s="6" t="n">
        <x:v>0</x:v>
      </x:c>
      <x:c r="J188" s="6" t="n">
        <x:v>0</x:v>
      </x:c>
      <x:c r="K188" s="6" t="n">
        <x:v>0</x:v>
      </x:c>
      <x:c r="L188" s="6" t="n">
        <x:v>0</x:v>
      </x:c>
      <x:c r="M188" s="6" t="n">
        <x:v>0</x:v>
      </x:c>
      <x:c r="N188" s="6" t="n">
        <x:v>0</x:v>
      </x:c>
      <x:c r="O188" s="6" t="n">
        <x:v>0</x:v>
      </x:c>
      <x:c r="P188" s="6" t="n">
        <x:v>0</x:v>
      </x:c>
      <x:c r="Q188" s="6" t="str">
        <x:v>unverified</x:v>
      </x:c>
      <x:c r="R188" s="6" t="str">
        <x:v>2026</x:v>
      </x:c>
      <x:c r="S188" s="6" t="str">
        <x:v>other_month</x:v>
      </x:c>
      <x:c r="T188" s="6" t="d">
        <x:v>2026-07-25T10:15:38.000Z</x:v>
      </x:c>
      <x:c r="U188" s="6" t="str">
        <x:v>RESEARCH_WORKSPACE/ResearchTools/SaSa_Comment_Collection/data/instagram_historical/DA92M5qyQ9H_1792434603497584000.json</x:v>
      </x:c>
      <x:c r="V188" s="6" t="str"/>
      <x:c r="W188" s="6" t="str">
        <x:v>not_reclassified</x:v>
      </x:c>
      <x:c r="X188" s="6" t="str">
        <x:v>No purchase inferred; see source review</x:v>
      </x:c>
      <x:c r="Y188" s="7" t="b">
        <x:v>0</x:v>
      </x:c>
    </x:row>
    <x:row r="189" ht="66" customHeight="1">
      <x:c r="A189" s="6" t="str">
        <x:v>instagram_18208472998358577</x:v>
      </x:c>
      <x:c r="B189" s="6" t="str">
        <x:v>instagram_DA92M5qyQ9H</x:v>
      </x:c>
      <x:c r="C189" s="6" t="str">
        <x:v>Instagram</x:v>
      </x:c>
      <x:c r="D189" s="6" t="str">
        <x:v>pending_evidence</x:v>
      </x:c>
      <x:c r="E189" s="6" t="str">
        <x:v>Welcome to the Kaiverse</x:v>
      </x:c>
      <x:c r="F189" s="6" t="str"/>
      <x:c r="G189" s="6" t="str"/>
      <x:c r="H189" s="6" t="str">
        <x:v>Default displayed order; comments trend newest-first in this capture, not a verified sort setting. Several screenshots show signup overlay. Preserve raw, do not treat as complete verified sample. </x:v>
      </x:c>
      <x:c r="I189" s="6" t="n">
        <x:v>0</x:v>
      </x:c>
      <x:c r="J189" s="6" t="n">
        <x:v>0</x:v>
      </x:c>
      <x:c r="K189" s="6" t="n">
        <x:v>0</x:v>
      </x:c>
      <x:c r="L189" s="6" t="n">
        <x:v>0</x:v>
      </x:c>
      <x:c r="M189" s="6" t="n">
        <x:v>0</x:v>
      </x:c>
      <x:c r="N189" s="6" t="n">
        <x:v>0</x:v>
      </x:c>
      <x:c r="O189" s="6" t="n">
        <x:v>0</x:v>
      </x:c>
      <x:c r="P189" s="6" t="n">
        <x:v>0</x:v>
      </x:c>
      <x:c r="Q189" s="6" t="str">
        <x:v>unverified</x:v>
      </x:c>
      <x:c r="R189" s="6" t="str">
        <x:v>2026</x:v>
      </x:c>
      <x:c r="S189" s="6" t="str">
        <x:v>other_month</x:v>
      </x:c>
      <x:c r="T189" s="6" t="d">
        <x:v>2026-07-11T00:38:07.000Z</x:v>
      </x:c>
      <x:c r="U189" s="6" t="str">
        <x:v>RESEARCH_WORKSPACE/ResearchTools/SaSa_Comment_Collection/data/instagram_historical/DA92M5qyQ9H_1792434603497584000.json</x:v>
      </x:c>
      <x:c r="V189" s="6" t="str"/>
      <x:c r="W189" s="6" t="str">
        <x:v>not_reclassified</x:v>
      </x:c>
      <x:c r="X189" s="6" t="str">
        <x:v>No purchase inferred; see source review</x:v>
      </x:c>
      <x:c r="Y189" s="7" t="b">
        <x:v>0</x:v>
      </x:c>
    </x:row>
    <x:row r="190" ht="66" customHeight="1">
      <x:c r="A190" s="6" t="str">
        <x:v>instagram_18070448135660949</x:v>
      </x:c>
      <x:c r="B190" s="6" t="str">
        <x:v>instagram_DA92M5qyQ9H</x:v>
      </x:c>
      <x:c r="C190" s="6" t="str">
        <x:v>Instagram</x:v>
      </x:c>
      <x:c r="D190" s="6" t="str">
        <x:v>pending_evidence</x:v>
      </x:c>
      <x:c r="E190" s="6" t="str">
        <x:v>😍😍😍</x:v>
      </x:c>
      <x:c r="F190" s="6" t="str"/>
      <x:c r="G190" s="6" t="str"/>
      <x:c r="H190" s="6" t="str">
        <x:v>Default displayed order; comments trend newest-first in this capture, not a verified sort setting. Several screenshots show signup overlay. Preserve raw, do not treat as complete verified sample. </x:v>
      </x:c>
      <x:c r="I190" s="6" t="n">
        <x:v>0</x:v>
      </x:c>
      <x:c r="J190" s="6" t="n">
        <x:v>0</x:v>
      </x:c>
      <x:c r="K190" s="6" t="n">
        <x:v>0</x:v>
      </x:c>
      <x:c r="L190" s="6" t="n">
        <x:v>0</x:v>
      </x:c>
      <x:c r="M190" s="6" t="n">
        <x:v>0</x:v>
      </x:c>
      <x:c r="N190" s="6" t="n">
        <x:v>0</x:v>
      </x:c>
      <x:c r="O190" s="6" t="n">
        <x:v>0</x:v>
      </x:c>
      <x:c r="P190" s="6" t="n">
        <x:v>0</x:v>
      </x:c>
      <x:c r="Q190" s="6" t="str">
        <x:v>unverified</x:v>
      </x:c>
      <x:c r="R190" s="6" t="str">
        <x:v>2026</x:v>
      </x:c>
      <x:c r="S190" s="6" t="str">
        <x:v>other_month</x:v>
      </x:c>
      <x:c r="T190" s="6" t="d">
        <x:v>2026-05-11T15:47:21.000Z</x:v>
      </x:c>
      <x:c r="U190" s="6" t="str">
        <x:v>RESEARCH_WORKSPACE/ResearchTools/SaSa_Comment_Collection/data/instagram_historical/DA92M5qyQ9H_1792434603497584000.json</x:v>
      </x:c>
      <x:c r="V190" s="6" t="str"/>
      <x:c r="W190" s="6" t="str">
        <x:v>not_reclassified</x:v>
      </x:c>
      <x:c r="X190" s="6" t="str">
        <x:v>No purchase inferred; see source review</x:v>
      </x:c>
      <x:c r="Y190" s="7" t="b">
        <x:v>0</x:v>
      </x:c>
    </x:row>
    <x:row r="191" ht="66" customHeight="1">
      <x:c r="A191" s="6" t="str">
        <x:v>instagram_17919760464320052</x:v>
      </x:c>
      <x:c r="B191" s="6" t="str">
        <x:v>instagram_DA92M5qyQ9H</x:v>
      </x:c>
      <x:c r="C191" s="6" t="str">
        <x:v>Instagram</x:v>
      </x:c>
      <x:c r="D191" s="6" t="str">
        <x:v>pending_evidence</x:v>
      </x:c>
      <x:c r="E191" s="6" t="str">
        <x:v>up!</x:v>
      </x:c>
      <x:c r="F191" s="6" t="str"/>
      <x:c r="G191" s="6" t="str"/>
      <x:c r="H191" s="6" t="str">
        <x:v>Default displayed order; comments trend newest-first in this capture, not a verified sort setting. Several screenshots show signup overlay. Preserve raw, do not treat as complete verified sample. </x:v>
      </x:c>
      <x:c r="I191" s="6" t="n">
        <x:v>0</x:v>
      </x:c>
      <x:c r="J191" s="6" t="n">
        <x:v>0</x:v>
      </x:c>
      <x:c r="K191" s="6" t="n">
        <x:v>0</x:v>
      </x:c>
      <x:c r="L191" s="6" t="n">
        <x:v>0</x:v>
      </x:c>
      <x:c r="M191" s="6" t="n">
        <x:v>0</x:v>
      </x:c>
      <x:c r="N191" s="6" t="n">
        <x:v>0</x:v>
      </x:c>
      <x:c r="O191" s="6" t="n">
        <x:v>0</x:v>
      </x:c>
      <x:c r="P191" s="6" t="n">
        <x:v>0</x:v>
      </x:c>
      <x:c r="Q191" s="6" t="str">
        <x:v>unverified</x:v>
      </x:c>
      <x:c r="R191" s="6" t="str">
        <x:v>2026</x:v>
      </x:c>
      <x:c r="S191" s="6" t="str">
        <x:v>other_month</x:v>
      </x:c>
      <x:c r="T191" s="6" t="d">
        <x:v>2026-04-06T00:52:26.000Z</x:v>
      </x:c>
      <x:c r="U191" s="6" t="str">
        <x:v>RESEARCH_WORKSPACE/ResearchTools/SaSa_Comment_Collection/data/instagram_historical/DA92M5qyQ9H_1792434603497584000.json</x:v>
      </x:c>
      <x:c r="V191" s="6" t="str"/>
      <x:c r="W191" s="6" t="str">
        <x:v>not_reclassified</x:v>
      </x:c>
      <x:c r="X191" s="6" t="str">
        <x:v>No purchase inferred; see source review</x:v>
      </x:c>
      <x:c r="Y191" s="7" t="b">
        <x:v>0</x:v>
      </x:c>
    </x:row>
    <x:row r="192" ht="66" customHeight="1">
      <x:c r="A192" s="6" t="str">
        <x:v>instagram_18050757899528177</x:v>
      </x:c>
      <x:c r="B192" s="6" t="str">
        <x:v>instagram_DA92M5qyQ9H</x:v>
      </x:c>
      <x:c r="C192" s="6" t="str">
        <x:v>Instagram</x:v>
      </x:c>
      <x:c r="D192" s="6" t="str">
        <x:v>pending_evidence</x:v>
      </x:c>
      <x:c r="E192" s="6" t="str">
        <x:v>언니, 저 좀 때려주세요 (하하하 농담이에요)</x:v>
      </x:c>
      <x:c r="F192" s="6" t="str"/>
      <x:c r="G192" s="6" t="str"/>
      <x:c r="H192" s="6" t="str">
        <x:v>Default displayed order; comments trend newest-first in this capture, not a verified sort setting. Several screenshots show signup overlay. Preserve raw, do not treat as complete verified sample. </x:v>
      </x:c>
      <x:c r="I192" s="6" t="n">
        <x:v>0</x:v>
      </x:c>
      <x:c r="J192" s="6" t="n">
        <x:v>0</x:v>
      </x:c>
      <x:c r="K192" s="6" t="n">
        <x:v>0</x:v>
      </x:c>
      <x:c r="L192" s="6" t="n">
        <x:v>0</x:v>
      </x:c>
      <x:c r="M192" s="6" t="n">
        <x:v>0</x:v>
      </x:c>
      <x:c r="N192" s="6" t="n">
        <x:v>0</x:v>
      </x:c>
      <x:c r="O192" s="6" t="n">
        <x:v>0</x:v>
      </x:c>
      <x:c r="P192" s="6" t="n">
        <x:v>0</x:v>
      </x:c>
      <x:c r="Q192" s="6" t="str">
        <x:v>unverified</x:v>
      </x:c>
      <x:c r="R192" s="6" t="str">
        <x:v>2026</x:v>
      </x:c>
      <x:c r="S192" s="6" t="str">
        <x:v>other_month</x:v>
      </x:c>
      <x:c r="T192" s="6" t="d">
        <x:v>2026-04-01T14:35:25.000Z</x:v>
      </x:c>
      <x:c r="U192" s="6" t="str">
        <x:v>RESEARCH_WORKSPACE/ResearchTools/SaSa_Comment_Collection/data/instagram_historical/DA92M5qyQ9H_1792434603497584000.json</x:v>
      </x:c>
      <x:c r="V192" s="6" t="str"/>
      <x:c r="W192" s="6" t="str">
        <x:v>not_reclassified</x:v>
      </x:c>
      <x:c r="X192" s="6" t="str">
        <x:v>No purchase inferred; see source review</x:v>
      </x:c>
      <x:c r="Y192" s="7" t="b">
        <x:v>0</x:v>
      </x:c>
    </x:row>
    <x:row r="193" ht="66" customHeight="1">
      <x:c r="A193" s="6" t="str">
        <x:v>instagram_17983900493978026</x:v>
      </x:c>
      <x:c r="B193" s="6" t="str">
        <x:v>instagram_DA92M5qyQ9H</x:v>
      </x:c>
      <x:c r="C193" s="6" t="str">
        <x:v>Instagram</x:v>
      </x:c>
      <x:c r="D193" s="6" t="str">
        <x:v>pending_evidence</x:v>
      </x:c>
      <x:c r="E193" s="6" t="str">
        <x:v>💜</x:v>
      </x:c>
      <x:c r="F193" s="6" t="str"/>
      <x:c r="G193" s="6" t="str"/>
      <x:c r="H193" s="6" t="str">
        <x:v>Default displayed order; comments trend newest-first in this capture, not a verified sort setting. Several screenshots show signup overlay. Preserve raw, do not treat as complete verified sample. </x:v>
      </x:c>
      <x:c r="I193" s="6" t="n">
        <x:v>0</x:v>
      </x:c>
      <x:c r="J193" s="6" t="n">
        <x:v>0</x:v>
      </x:c>
      <x:c r="K193" s="6" t="n">
        <x:v>0</x:v>
      </x:c>
      <x:c r="L193" s="6" t="n">
        <x:v>0</x:v>
      </x:c>
      <x:c r="M193" s="6" t="n">
        <x:v>0</x:v>
      </x:c>
      <x:c r="N193" s="6" t="n">
        <x:v>0</x:v>
      </x:c>
      <x:c r="O193" s="6" t="n">
        <x:v>0</x:v>
      </x:c>
      <x:c r="P193" s="6" t="n">
        <x:v>0</x:v>
      </x:c>
      <x:c r="Q193" s="6" t="str">
        <x:v>unverified</x:v>
      </x:c>
      <x:c r="R193" s="6" t="str">
        <x:v>2026</x:v>
      </x:c>
      <x:c r="S193" s="6" t="str">
        <x:v>other_month</x:v>
      </x:c>
      <x:c r="T193" s="6" t="d">
        <x:v>2026-03-24T01:35:53.000Z</x:v>
      </x:c>
      <x:c r="U193" s="6" t="str">
        <x:v>RESEARCH_WORKSPACE/ResearchTools/SaSa_Comment_Collection/data/instagram_historical/DA92M5qyQ9H_1792434603497584000.json</x:v>
      </x:c>
      <x:c r="V193" s="6" t="str"/>
      <x:c r="W193" s="6" t="str">
        <x:v>not_reclassified</x:v>
      </x:c>
      <x:c r="X193" s="6" t="str">
        <x:v>No purchase inferred; see source review</x:v>
      </x:c>
      <x:c r="Y193" s="7" t="b">
        <x:v>0</x:v>
      </x:c>
    </x:row>
    <x:row r="194" ht="66" customHeight="1">
      <x:c r="A194" s="6" t="str">
        <x:v>instagram_17951293373960686</x:v>
      </x:c>
      <x:c r="B194" s="6" t="str">
        <x:v>instagram_DA92M5qyQ9H</x:v>
      </x:c>
      <x:c r="C194" s="6" t="str">
        <x:v>Instagram</x:v>
      </x:c>
      <x:c r="D194" s="6" t="str">
        <x:v>pending_evidence</x:v>
      </x:c>
      <x:c r="E194" s="6" t="str">
        <x:v>💜</x:v>
      </x:c>
      <x:c r="F194" s="6" t="str"/>
      <x:c r="G194" s="6" t="str"/>
      <x:c r="H194" s="6" t="str">
        <x:v>Default displayed order; comments trend newest-first in this capture, not a verified sort setting. Several screenshots show signup overlay. Preserve raw, do not treat as complete verified sample. </x:v>
      </x:c>
      <x:c r="I194" s="6" t="n">
        <x:v>0</x:v>
      </x:c>
      <x:c r="J194" s="6" t="n">
        <x:v>0</x:v>
      </x:c>
      <x:c r="K194" s="6" t="n">
        <x:v>0</x:v>
      </x:c>
      <x:c r="L194" s="6" t="n">
        <x:v>0</x:v>
      </x:c>
      <x:c r="M194" s="6" t="n">
        <x:v>0</x:v>
      </x:c>
      <x:c r="N194" s="6" t="n">
        <x:v>0</x:v>
      </x:c>
      <x:c r="O194" s="6" t="n">
        <x:v>0</x:v>
      </x:c>
      <x:c r="P194" s="6" t="n">
        <x:v>0</x:v>
      </x:c>
      <x:c r="Q194" s="6" t="str">
        <x:v>unverified</x:v>
      </x:c>
      <x:c r="R194" s="6" t="str">
        <x:v>2026</x:v>
      </x:c>
      <x:c r="S194" s="6" t="str">
        <x:v>other_month</x:v>
      </x:c>
      <x:c r="T194" s="6" t="d">
        <x:v>2026-03-24T01:35:53.000Z</x:v>
      </x:c>
      <x:c r="U194" s="6" t="str">
        <x:v>RESEARCH_WORKSPACE/ResearchTools/SaSa_Comment_Collection/data/instagram_historical/DA92M5qyQ9H_1792434603497584000.json</x:v>
      </x:c>
      <x:c r="V194" s="6" t="str"/>
      <x:c r="W194" s="6" t="str">
        <x:v>not_reclassified</x:v>
      </x:c>
      <x:c r="X194" s="6" t="str">
        <x:v>No purchase inferred; see source review</x:v>
      </x:c>
      <x:c r="Y194" s="7" t="b">
        <x:v>0</x:v>
      </x:c>
    </x:row>
    <x:row r="195" ht="66" customHeight="1">
      <x:c r="A195" s="6" t="str">
        <x:v>instagram_17850794922680975</x:v>
      </x:c>
      <x:c r="B195" s="6" t="str">
        <x:v>instagram_DA92M5qyQ9H</x:v>
      </x:c>
      <x:c r="C195" s="6" t="str">
        <x:v>Instagram</x:v>
      </x:c>
      <x:c r="D195" s="6" t="str">
        <x:v>pending_evidence</x:v>
      </x:c>
      <x:c r="E195" s="6" t="str">
        <x:v>멋지다</x:v>
      </x:c>
      <x:c r="F195" s="6" t="str"/>
      <x:c r="G195" s="6" t="str"/>
      <x:c r="H195" s="6" t="str">
        <x:v>Default displayed order; comments trend newest-first in this capture, not a verified sort setting. Several screenshots show signup overlay. Preserve raw, do not treat as complete verified sample. </x:v>
      </x:c>
      <x:c r="I195" s="6" t="n">
        <x:v>0</x:v>
      </x:c>
      <x:c r="J195" s="6" t="n">
        <x:v>0</x:v>
      </x:c>
      <x:c r="K195" s="6" t="n">
        <x:v>0</x:v>
      </x:c>
      <x:c r="L195" s="6" t="n">
        <x:v>0</x:v>
      </x:c>
      <x:c r="M195" s="6" t="n">
        <x:v>0</x:v>
      </x:c>
      <x:c r="N195" s="6" t="n">
        <x:v>0</x:v>
      </x:c>
      <x:c r="O195" s="6" t="n">
        <x:v>0</x:v>
      </x:c>
      <x:c r="P195" s="6" t="n">
        <x:v>0</x:v>
      </x:c>
      <x:c r="Q195" s="6" t="str">
        <x:v>unverified</x:v>
      </x:c>
      <x:c r="R195" s="6" t="str">
        <x:v>2026</x:v>
      </x:c>
      <x:c r="S195" s="6" t="str">
        <x:v>other_month</x:v>
      </x:c>
      <x:c r="T195" s="6" t="d">
        <x:v>2026-02-20T11:45:35.000Z</x:v>
      </x:c>
      <x:c r="U195" s="6" t="str">
        <x:v>RESEARCH_WORKSPACE/ResearchTools/SaSa_Comment_Collection/data/instagram_historical/DA92M5qyQ9H_1792434603497584000.json</x:v>
      </x:c>
      <x:c r="V195" s="6" t="str"/>
      <x:c r="W195" s="6" t="str">
        <x:v>not_reclassified</x:v>
      </x:c>
      <x:c r="X195" s="6" t="str">
        <x:v>No purchase inferred; see source review</x:v>
      </x:c>
      <x:c r="Y195" s="7" t="b">
        <x:v>0</x:v>
      </x:c>
    </x:row>
    <x:row r="196" ht="52" customHeight="1">
      <x:c r="A196" s="6" t="str">
        <x:v>instagram_18370541827128416</x:v>
      </x:c>
      <x:c r="B196" s="6" t="str">
        <x:v>instagram_DAlrf28Njbf</x:v>
      </x:c>
      <x:c r="C196" s="6" t="str">
        <x:v>Instagram</x:v>
      </x:c>
      <x:c r="D196" s="6" t="str">
        <x:v>excluded</x:v>
      </x:c>
      <x:c r="E196" s="6" t="str">
        <x:v>👍👍👍👍👍</x:v>
      </x:c>
      <x:c r="F196" s="6" t="str"/>
      <x:c r="G196" s="6" t="str"/>
      <x:c r="H196" s="6" t="str">
        <x:v>Emoji/tag/punctuation only, music request or personal fan message; excluded from substantive makeup analysis.</x:v>
      </x:c>
      <x:c r="I196" s="6" t="n">
        <x:v>0</x:v>
      </x:c>
      <x:c r="J196" s="6" t="n">
        <x:v>0</x:v>
      </x:c>
      <x:c r="K196" s="6" t="n">
        <x:v>0</x:v>
      </x:c>
      <x:c r="L196" s="6" t="n">
        <x:v>0</x:v>
      </x:c>
      <x:c r="M196" s="6" t="n">
        <x:v>0</x:v>
      </x:c>
      <x:c r="N196" s="6" t="n">
        <x:v>0</x:v>
      </x:c>
      <x:c r="O196" s="6" t="n">
        <x:v>0</x:v>
      </x:c>
      <x:c r="P196" s="6" t="n">
        <x:v>0</x:v>
      </x:c>
      <x:c r="Q196" s="6" t="str">
        <x:v>top_level</x:v>
      </x:c>
      <x:c r="R196" s="6" t="str">
        <x:v>2024</x:v>
      </x:c>
      <x:c r="S196" s="6" t="str">
        <x:v>other_month</x:v>
      </x:c>
      <x:c r="T196" s="6" t="d">
        <x:v>2024-11-02T06:21:49.000Z</x:v>
      </x:c>
      <x:c r="U196" s="6" t="str">
        <x:v>RESEARCH_WORKSPACE/ResearchTools/SaSa_Comment_Collection/data/instagram_gap_batch/DAlrf28Njbf_1792435137654821000.json</x:v>
      </x:c>
      <x:c r="V196" s="6" t="str">
        <x:v>RESEARCH_WORKSPACE/ResearchTools/SaSa_Comment_Collection/data/instagram_gap_batch/DAlrf28Njbf_1792435137654821000_position_01.png</x:v>
      </x:c>
      <x:c r="W196" s="6" t="str">
        <x:v>praise_or_other</x:v>
      </x:c>
      <x:c r="X196" s="6" t="str">
        <x:v>No explicit purchase intention or self-reported product purchase</x:v>
      </x:c>
      <x:c r="Y196" s="7" t="b">
        <x:v>0</x:v>
      </x:c>
    </x:row>
    <x:row r="197" ht="52" customHeight="1">
      <x:c r="A197" s="6" t="str">
        <x:v>instagram_18029746838521666</x:v>
      </x:c>
      <x:c r="B197" s="6" t="str">
        <x:v>instagram_DAlrf28Njbf</x:v>
      </x:c>
      <x:c r="C197" s="6" t="str">
        <x:v>Instagram</x:v>
      </x:c>
      <x:c r="D197" s="6" t="str">
        <x:v>unclear</x:v>
      </x:c>
      <x:c r="E197" s="6" t="str">
        <x:v>Wow😍</x:v>
      </x:c>
      <x:c r="F197" s="6" t="str"/>
      <x:c r="G197" s="6" t="str"/>
      <x:c r="H197" s="6" t="str">
        <x:v>Bare or ambiguous exclamation; no definite makeup interpretation assigned.</x:v>
      </x:c>
      <x:c r="I197" s="6" t="n">
        <x:v>0</x:v>
      </x:c>
      <x:c r="J197" s="6" t="n">
        <x:v>0</x:v>
      </x:c>
      <x:c r="K197" s="6" t="n">
        <x:v>0</x:v>
      </x:c>
      <x:c r="L197" s="6" t="n">
        <x:v>0</x:v>
      </x:c>
      <x:c r="M197" s="6" t="n">
        <x:v>0</x:v>
      </x:c>
      <x:c r="N197" s="6" t="n">
        <x:v>0</x:v>
      </x:c>
      <x:c r="O197" s="6" t="n">
        <x:v>0</x:v>
      </x:c>
      <x:c r="P197" s="6" t="n">
        <x:v>0</x:v>
      </x:c>
      <x:c r="Q197" s="6" t="str">
        <x:v>top_level</x:v>
      </x:c>
      <x:c r="R197" s="6" t="str">
        <x:v>2024</x:v>
      </x:c>
      <x:c r="S197" s="6" t="str">
        <x:v>Sep_Oct</x:v>
      </x:c>
      <x:c r="T197" s="6" t="d">
        <x:v>2024-10-28T15:39:44.000Z</x:v>
      </x:c>
      <x:c r="U197" s="6" t="str">
        <x:v>RESEARCH_WORKSPACE/ResearchTools/SaSa_Comment_Collection/data/instagram_gap_batch/DAlrf28Njbf_1792435137654821000.json</x:v>
      </x:c>
      <x:c r="V197" s="6" t="str">
        <x:v>RESEARCH_WORKSPACE/ResearchTools/SaSa_Comment_Collection/data/instagram_gap_batch/DAlrf28Njbf_1792435137654821000_position_02.png</x:v>
      </x:c>
      <x:c r="W197" s="6" t="str">
        <x:v>praise_or_other</x:v>
      </x:c>
      <x:c r="X197" s="6" t="str">
        <x:v>No explicit purchase intention or self-reported product purchase</x:v>
      </x:c>
      <x:c r="Y197" s="7" t="b">
        <x:v>0</x:v>
      </x:c>
    </x:row>
    <x:row r="198" ht="52" customHeight="1">
      <x:c r="A198" s="6" t="str">
        <x:v>instagram_18070697716613996</x:v>
      </x:c>
      <x:c r="B198" s="6" t="str">
        <x:v>instagram_DAlrf28Njbf</x:v>
      </x:c>
      <x:c r="C198" s="6" t="str">
        <x:v>Instagram</x:v>
      </x:c>
      <x:c r="D198" s="6" t="str">
        <x:v>unclear</x:v>
      </x:c>
      <x:c r="E198" s="6" t="str">
        <x:v>Wow 🔥🕷️🕸️</x:v>
      </x:c>
      <x:c r="F198" s="6" t="str"/>
      <x:c r="G198" s="6" t="str"/>
      <x:c r="H198" s="6" t="str">
        <x:v>Bare or ambiguous exclamation; no definite makeup interpretation assigned.</x:v>
      </x:c>
      <x:c r="I198" s="6" t="n">
        <x:v>0</x:v>
      </x:c>
      <x:c r="J198" s="6" t="n">
        <x:v>0</x:v>
      </x:c>
      <x:c r="K198" s="6" t="n">
        <x:v>0</x:v>
      </x:c>
      <x:c r="L198" s="6" t="n">
        <x:v>0</x:v>
      </x:c>
      <x:c r="M198" s="6" t="n">
        <x:v>0</x:v>
      </x:c>
      <x:c r="N198" s="6" t="n">
        <x:v>0</x:v>
      </x:c>
      <x:c r="O198" s="6" t="n">
        <x:v>0</x:v>
      </x:c>
      <x:c r="P198" s="6" t="n">
        <x:v>0</x:v>
      </x:c>
      <x:c r="Q198" s="6" t="str">
        <x:v>top_level</x:v>
      </x:c>
      <x:c r="R198" s="6" t="str">
        <x:v>2024</x:v>
      </x:c>
      <x:c r="S198" s="6" t="str">
        <x:v>Sep_Oct</x:v>
      </x:c>
      <x:c r="T198" s="6" t="d">
        <x:v>2024-10-23T08:06:14.000Z</x:v>
      </x:c>
      <x:c r="U198" s="6" t="str">
        <x:v>RESEARCH_WORKSPACE/ResearchTools/SaSa_Comment_Collection/data/instagram_gap_batch/DAlrf28Njbf_1792435137654821000.json</x:v>
      </x:c>
      <x:c r="V198" s="6" t="str">
        <x:v>RESEARCH_WORKSPACE/ResearchTools/SaSa_Comment_Collection/data/instagram_gap_batch/DAlrf28Njbf_1792435137654821000_position_03.png</x:v>
      </x:c>
      <x:c r="W198" s="6" t="str">
        <x:v>praise_or_other</x:v>
      </x:c>
      <x:c r="X198" s="6" t="str">
        <x:v>No explicit purchase intention or self-reported product purchase</x:v>
      </x:c>
      <x:c r="Y198" s="7" t="b">
        <x:v>0</x:v>
      </x:c>
    </x:row>
    <x:row r="199" ht="52" customHeight="1">
      <x:c r="A199" s="6" t="str">
        <x:v>instagram_18040790807112565</x:v>
      </x:c>
      <x:c r="B199" s="6" t="str">
        <x:v>instagram_DAlrf28Njbf</x:v>
      </x:c>
      <x:c r="C199" s="6" t="str">
        <x:v>Instagram</x:v>
      </x:c>
      <x:c r="D199" s="6" t="str">
        <x:v>valid</x:v>
      </x:c>
      <x:c r="E199" s="6" t="str">
        <x:v>Love it 👏</x:v>
      </x:c>
      <x:c r="F199" s="6" t="str"/>
      <x:c r="G199" s="6" t="str">
        <x:v>Love it 👏</x:v>
      </x:c>
      <x:c r="H199" s="6" t="str">
        <x:v>Individual text review against saved DOM; screenshots confirm unexpanded top-level presentation. No purchases inferred.</x:v>
      </x:c>
      <x:c r="I199" s="6" t="n">
        <x:v>1</x:v>
      </x:c>
      <x:c r="J199" s="6" t="n">
        <x:v>0</x:v>
      </x:c>
      <x:c r="K199" s="6" t="n">
        <x:v>0</x:v>
      </x:c>
      <x:c r="L199" s="6" t="n">
        <x:v>0</x:v>
      </x:c>
      <x:c r="M199" s="6" t="n">
        <x:v>0</x:v>
      </x:c>
      <x:c r="N199" s="6" t="n">
        <x:v>0</x:v>
      </x:c>
      <x:c r="O199" s="6" t="n">
        <x:v>0</x:v>
      </x:c>
      <x:c r="P199" s="6" t="n">
        <x:v>0</x:v>
      </x:c>
      <x:c r="Q199" s="6" t="str">
        <x:v>top_level</x:v>
      </x:c>
      <x:c r="R199" s="6" t="str">
        <x:v>2024</x:v>
      </x:c>
      <x:c r="S199" s="6" t="str">
        <x:v>Sep_Oct</x:v>
      </x:c>
      <x:c r="T199" s="6" t="d">
        <x:v>2024-10-01T20:22:04.000Z</x:v>
      </x:c>
      <x:c r="U199" s="6" t="str">
        <x:v>RESEARCH_WORKSPACE/ResearchTools/SaSa_Comment_Collection/data/instagram_gap_batch/DAlrf28Njbf_1792435137654821000.json</x:v>
      </x:c>
      <x:c r="V199" s="6" t="str">
        <x:v>RESEARCH_WORKSPACE/ResearchTools/SaSa_Comment_Collection/data/instagram_gap_batch/DAlrf28Njbf_1792435137654821000_position_04.png</x:v>
      </x:c>
      <x:c r="W199" s="6" t="str">
        <x:v>praise_or_other</x:v>
      </x:c>
      <x:c r="X199" s="6" t="str">
        <x:v>No explicit purchase intention or self-reported product purchase</x:v>
      </x:c>
      <x:c r="Y199" s="7" t="b">
        <x:v>0</x:v>
      </x:c>
    </x:row>
    <x:row r="200" ht="52" customHeight="1">
      <x:c r="A200" s="6" t="str">
        <x:v>instagram_17859962589252910</x:v>
      </x:c>
      <x:c r="B200" s="6" t="str">
        <x:v>instagram_DAlrf28Njbf</x:v>
      </x:c>
      <x:c r="C200" s="6" t="str">
        <x:v>Instagram</x:v>
      </x:c>
      <x:c r="D200" s="6" t="str">
        <x:v>valid</x:v>
      </x:c>
      <x:c r="E200" s="6" t="str">
        <x:v>Love!</x:v>
      </x:c>
      <x:c r="F200" s="6" t="str"/>
      <x:c r="G200" s="6" t="str">
        <x:v>Love!</x:v>
      </x:c>
      <x:c r="H200" s="6" t="str">
        <x:v>Individual text review against saved DOM; screenshots confirm unexpanded top-level presentation. No purchases inferred.</x:v>
      </x:c>
      <x:c r="I200" s="6" t="n">
        <x:v>1</x:v>
      </x:c>
      <x:c r="J200" s="6" t="n">
        <x:v>0</x:v>
      </x:c>
      <x:c r="K200" s="6" t="n">
        <x:v>0</x:v>
      </x:c>
      <x:c r="L200" s="6" t="n">
        <x:v>0</x:v>
      </x:c>
      <x:c r="M200" s="6" t="n">
        <x:v>0</x:v>
      </x:c>
      <x:c r="N200" s="6" t="n">
        <x:v>0</x:v>
      </x:c>
      <x:c r="O200" s="6" t="n">
        <x:v>0</x:v>
      </x:c>
      <x:c r="P200" s="6" t="n">
        <x:v>0</x:v>
      </x:c>
      <x:c r="Q200" s="6" t="str">
        <x:v>top_level</x:v>
      </x:c>
      <x:c r="R200" s="6" t="str">
        <x:v>2024</x:v>
      </x:c>
      <x:c r="S200" s="6" t="str">
        <x:v>Sep_Oct</x:v>
      </x:c>
      <x:c r="T200" s="6" t="d">
        <x:v>2024-10-01T19:20:28.000Z</x:v>
      </x:c>
      <x:c r="U200" s="6" t="str">
        <x:v>RESEARCH_WORKSPACE/ResearchTools/SaSa_Comment_Collection/data/instagram_gap_batch/DAlrf28Njbf_1792435137654821000.json</x:v>
      </x:c>
      <x:c r="V200" s="6" t="str">
        <x:v>RESEARCH_WORKSPACE/ResearchTools/SaSa_Comment_Collection/data/instagram_gap_batch/DAlrf28Njbf_1792435137654821000_position_05.png</x:v>
      </x:c>
      <x:c r="W200" s="6" t="str">
        <x:v>praise_or_other</x:v>
      </x:c>
      <x:c r="X200" s="6" t="str">
        <x:v>No explicit purchase intention or self-reported product purchase</x:v>
      </x:c>
      <x:c r="Y200" s="7" t="b">
        <x:v>0</x:v>
      </x:c>
    </x:row>
    <x:row r="201" ht="52" customHeight="1">
      <x:c r="A201" s="6" t="str">
        <x:v>instagram_17944049162857280</x:v>
      </x:c>
      <x:c r="B201" s="6" t="str">
        <x:v>instagram_DAlrf28Njbf</x:v>
      </x:c>
      <x:c r="C201" s="6" t="str">
        <x:v>Instagram</x:v>
      </x:c>
      <x:c r="D201" s="6" t="str">
        <x:v>excluded</x:v>
      </x:c>
      <x:c r="E201" s="6" t="str">
        <x:v>My beautiful Queen 👸🏽love you ♥️😭</x:v>
      </x:c>
      <x:c r="F201" s="6" t="str"/>
      <x:c r="G201" s="6" t="str"/>
      <x:c r="H201" s="6" t="str">
        <x:v>Emoji/tag/punctuation only, music request or personal fan message; excluded from substantive makeup analysis.</x:v>
      </x:c>
      <x:c r="I201" s="6" t="n">
        <x:v>0</x:v>
      </x:c>
      <x:c r="J201" s="6" t="n">
        <x:v>0</x:v>
      </x:c>
      <x:c r="K201" s="6" t="n">
        <x:v>0</x:v>
      </x:c>
      <x:c r="L201" s="6" t="n">
        <x:v>0</x:v>
      </x:c>
      <x:c r="M201" s="6" t="n">
        <x:v>0</x:v>
      </x:c>
      <x:c r="N201" s="6" t="n">
        <x:v>0</x:v>
      </x:c>
      <x:c r="O201" s="6" t="n">
        <x:v>0</x:v>
      </x:c>
      <x:c r="P201" s="6" t="n">
        <x:v>0</x:v>
      </x:c>
      <x:c r="Q201" s="6" t="str">
        <x:v>top_level</x:v>
      </x:c>
      <x:c r="R201" s="6" t="str">
        <x:v>2024</x:v>
      </x:c>
      <x:c r="S201" s="6" t="str">
        <x:v>Sep_Oct</x:v>
      </x:c>
      <x:c r="T201" s="6" t="d">
        <x:v>2024-10-01T18:30:32.000Z</x:v>
      </x:c>
      <x:c r="U201" s="6" t="str">
        <x:v>RESEARCH_WORKSPACE/ResearchTools/SaSa_Comment_Collection/data/instagram_gap_batch/DAlrf28Njbf_1792435137654821000.json</x:v>
      </x:c>
      <x:c r="V201" s="6" t="str">
        <x:v>RESEARCH_WORKSPACE/ResearchTools/SaSa_Comment_Collection/data/instagram_gap_batch/DAlrf28Njbf_1792435137654821000_position_06.png</x:v>
      </x:c>
      <x:c r="W201" s="6" t="str">
        <x:v>praise_or_other</x:v>
      </x:c>
      <x:c r="X201" s="6" t="str">
        <x:v>No explicit purchase intention or self-reported product purchase</x:v>
      </x:c>
      <x:c r="Y201" s="7" t="b">
        <x:v>0</x:v>
      </x:c>
    </x:row>
    <x:row r="202" ht="52" customHeight="1">
      <x:c r="A202" s="6" t="str">
        <x:v>instagram_18033061979210245</x:v>
      </x:c>
      <x:c r="B202" s="6" t="str">
        <x:v>instagram_DAlrf28Njbf</x:v>
      </x:c>
      <x:c r="C202" s="6" t="str">
        <x:v>Instagram</x:v>
      </x:c>
      <x:c r="D202" s="6" t="str">
        <x:v>valid</x:v>
      </x:c>
      <x:c r="E202" s="6" t="str">
        <x:v>Wow incredible! 😍</x:v>
      </x:c>
      <x:c r="F202" s="6" t="str"/>
      <x:c r="G202" s="6" t="str">
        <x:v>Wow incredible! 😍</x:v>
      </x:c>
      <x:c r="H202" s="6" t="str">
        <x:v>Individual text review against saved DOM; screenshots confirm unexpanded top-level presentation. No purchases inferred.</x:v>
      </x:c>
      <x:c r="I202" s="6" t="n">
        <x:v>1</x:v>
      </x:c>
      <x:c r="J202" s="6" t="n">
        <x:v>0</x:v>
      </x:c>
      <x:c r="K202" s="6" t="n">
        <x:v>0</x:v>
      </x:c>
      <x:c r="L202" s="6" t="n">
        <x:v>0</x:v>
      </x:c>
      <x:c r="M202" s="6" t="n">
        <x:v>0</x:v>
      </x:c>
      <x:c r="N202" s="6" t="n">
        <x:v>0</x:v>
      </x:c>
      <x:c r="O202" s="6" t="n">
        <x:v>0</x:v>
      </x:c>
      <x:c r="P202" s="6" t="n">
        <x:v>0</x:v>
      </x:c>
      <x:c r="Q202" s="6" t="str">
        <x:v>top_level</x:v>
      </x:c>
      <x:c r="R202" s="6" t="str">
        <x:v>2024</x:v>
      </x:c>
      <x:c r="S202" s="6" t="str">
        <x:v>Sep_Oct</x:v>
      </x:c>
      <x:c r="T202" s="6" t="d">
        <x:v>2024-10-01T18:16:05.000Z</x:v>
      </x:c>
      <x:c r="U202" s="6" t="str">
        <x:v>RESEARCH_WORKSPACE/ResearchTools/SaSa_Comment_Collection/data/instagram_gap_batch/DAlrf28Njbf_1792435137654821000.json</x:v>
      </x:c>
      <x:c r="V202" s="6" t="str">
        <x:v>RESEARCH_WORKSPACE/ResearchTools/SaSa_Comment_Collection/data/instagram_gap_batch/DAlrf28Njbf_1792435137654821000_position_07.png</x:v>
      </x:c>
      <x:c r="W202" s="6" t="str">
        <x:v>praise_or_other</x:v>
      </x:c>
      <x:c r="X202" s="6" t="str">
        <x:v>No explicit purchase intention or self-reported product purchase</x:v>
      </x:c>
      <x:c r="Y202" s="7" t="b">
        <x:v>0</x:v>
      </x:c>
    </x:row>
    <x:row r="203" ht="52" customHeight="1">
      <x:c r="A203" s="6" t="str">
        <x:v>instagram_18007645550442667</x:v>
      </x:c>
      <x:c r="B203" s="6" t="str">
        <x:v>instagram_DAlrf28Njbf</x:v>
      </x:c>
      <x:c r="C203" s="6" t="str">
        <x:v>Instagram</x:v>
      </x:c>
      <x:c r="D203" s="6" t="str">
        <x:v>valid</x:v>
      </x:c>
      <x:c r="E203" s="6" t="str">
        <x:v>She’s back! It must be October! 😂</x:v>
      </x:c>
      <x:c r="F203" s="6" t="str"/>
      <x:c r="G203" s="6" t="str">
        <x:v>She’s back! It must be October! 😂</x:v>
      </x:c>
      <x:c r="H203" s="6" t="str">
        <x:v>Individual text review against saved DOM; screenshots confirm unexpanded top-level presentation. No purchases inferred.</x:v>
      </x:c>
      <x:c r="I203" s="6" t="n">
        <x:v>1</x:v>
      </x:c>
      <x:c r="J203" s="6" t="n">
        <x:v>0</x:v>
      </x:c>
      <x:c r="K203" s="6" t="n">
        <x:v>0</x:v>
      </x:c>
      <x:c r="L203" s="6" t="n">
        <x:v>0</x:v>
      </x:c>
      <x:c r="M203" s="6" t="n">
        <x:v>0</x:v>
      </x:c>
      <x:c r="N203" s="6" t="n">
        <x:v>0</x:v>
      </x:c>
      <x:c r="O203" s="6" t="n">
        <x:v>0</x:v>
      </x:c>
      <x:c r="P203" s="6" t="n">
        <x:v>0</x:v>
      </x:c>
      <x:c r="Q203" s="6" t="str">
        <x:v>top_level</x:v>
      </x:c>
      <x:c r="R203" s="6" t="str">
        <x:v>2024</x:v>
      </x:c>
      <x:c r="S203" s="6" t="str">
        <x:v>Sep_Oct</x:v>
      </x:c>
      <x:c r="T203" s="6" t="d">
        <x:v>2024-10-01T18:01:33.000Z</x:v>
      </x:c>
      <x:c r="U203" s="6" t="str">
        <x:v>RESEARCH_WORKSPACE/ResearchTools/SaSa_Comment_Collection/data/instagram_gap_batch/DAlrf28Njbf_1792435137654821000.json</x:v>
      </x:c>
      <x:c r="V203" s="6" t="str">
        <x:v>RESEARCH_WORKSPACE/ResearchTools/SaSa_Comment_Collection/data/instagram_gap_batch/DAlrf28Njbf_1792435137654821000_position_08.png</x:v>
      </x:c>
      <x:c r="W203" s="6" t="str">
        <x:v>praise_or_other</x:v>
      </x:c>
      <x:c r="X203" s="6" t="str">
        <x:v>No explicit purchase intention or self-reported product purchase</x:v>
      </x:c>
      <x:c r="Y203" s="7" t="b">
        <x:v>0</x:v>
      </x:c>
    </x:row>
    <x:row r="204" ht="52" customHeight="1">
      <x:c r="A204" s="6" t="str">
        <x:v>instagram_18338937373120371</x:v>
      </x:c>
      <x:c r="B204" s="6" t="str">
        <x:v>instagram_DAlrf28Njbf</x:v>
      </x:c>
      <x:c r="C204" s="6" t="str">
        <x:v>Instagram</x:v>
      </x:c>
      <x:c r="D204" s="6" t="str">
        <x:v>valid</x:v>
      </x:c>
      <x:c r="E204" s="6" t="str">
        <x:v>Oh I loveeee this 😍</x:v>
      </x:c>
      <x:c r="F204" s="6" t="str"/>
      <x:c r="G204" s="6" t="str">
        <x:v>Oh I loveeee this 😍</x:v>
      </x:c>
      <x:c r="H204" s="6" t="str">
        <x:v>Individual text review against saved DOM; screenshots confirm unexpanded top-level presentation. No purchases inferred.</x:v>
      </x:c>
      <x:c r="I204" s="6" t="n">
        <x:v>1</x:v>
      </x:c>
      <x:c r="J204" s="6" t="n">
        <x:v>0</x:v>
      </x:c>
      <x:c r="K204" s="6" t="n">
        <x:v>0</x:v>
      </x:c>
      <x:c r="L204" s="6" t="n">
        <x:v>0</x:v>
      </x:c>
      <x:c r="M204" s="6" t="n">
        <x:v>0</x:v>
      </x:c>
      <x:c r="N204" s="6" t="n">
        <x:v>0</x:v>
      </x:c>
      <x:c r="O204" s="6" t="n">
        <x:v>0</x:v>
      </x:c>
      <x:c r="P204" s="6" t="n">
        <x:v>0</x:v>
      </x:c>
      <x:c r="Q204" s="6" t="str">
        <x:v>top_level</x:v>
      </x:c>
      <x:c r="R204" s="6" t="str">
        <x:v>2024</x:v>
      </x:c>
      <x:c r="S204" s="6" t="str">
        <x:v>Sep_Oct</x:v>
      </x:c>
      <x:c r="T204" s="6" t="d">
        <x:v>2024-10-01T17:50:55.000Z</x:v>
      </x:c>
      <x:c r="U204" s="6" t="str">
        <x:v>RESEARCH_WORKSPACE/ResearchTools/SaSa_Comment_Collection/data/instagram_gap_batch/DAlrf28Njbf_1792435137654821000.json</x:v>
      </x:c>
      <x:c r="V204" s="6" t="str">
        <x:v>RESEARCH_WORKSPACE/ResearchTools/SaSa_Comment_Collection/data/instagram_gap_batch/DAlrf28Njbf_1792435137654821000_position_09.png</x:v>
      </x:c>
      <x:c r="W204" s="6" t="str">
        <x:v>praise_or_other</x:v>
      </x:c>
      <x:c r="X204" s="6" t="str">
        <x:v>No explicit purchase intention or self-reported product purchase</x:v>
      </x:c>
      <x:c r="Y204" s="7" t="b">
        <x:v>0</x:v>
      </x:c>
    </x:row>
    <x:row r="205" ht="52" customHeight="1">
      <x:c r="A205" s="6" t="str">
        <x:v>instagram_18460286029022075</x:v>
      </x:c>
      <x:c r="B205" s="6" t="str">
        <x:v>instagram_DAlrf28Njbf</x:v>
      </x:c>
      <x:c r="C205" s="6" t="str">
        <x:v>Instagram</x:v>
      </x:c>
      <x:c r="D205" s="6" t="str">
        <x:v>valid</x:v>
      </x:c>
      <x:c r="E205" s="6" t="str">
        <x:v>SOOOO TALENTED 😍</x:v>
      </x:c>
      <x:c r="F205" s="6" t="str"/>
      <x:c r="G205" s="6" t="str">
        <x:v>SOOOO TALENTED 😍</x:v>
      </x:c>
      <x:c r="H205" s="6" t="str">
        <x:v>Individual text review against saved DOM; screenshots confirm unexpanded top-level presentation. No purchases inferred.</x:v>
      </x:c>
      <x:c r="I205" s="6" t="n">
        <x:v>1</x:v>
      </x:c>
      <x:c r="J205" s="6" t="n">
        <x:v>0</x:v>
      </x:c>
      <x:c r="K205" s="6" t="n">
        <x:v>0</x:v>
      </x:c>
      <x:c r="L205" s="6" t="n">
        <x:v>0</x:v>
      </x:c>
      <x:c r="M205" s="6" t="n">
        <x:v>0</x:v>
      </x:c>
      <x:c r="N205" s="6" t="n">
        <x:v>0</x:v>
      </x:c>
      <x:c r="O205" s="6" t="n">
        <x:v>0</x:v>
      </x:c>
      <x:c r="P205" s="6" t="n">
        <x:v>0</x:v>
      </x:c>
      <x:c r="Q205" s="6" t="str">
        <x:v>top_level</x:v>
      </x:c>
      <x:c r="R205" s="6" t="str">
        <x:v>2024</x:v>
      </x:c>
      <x:c r="S205" s="6" t="str">
        <x:v>Sep_Oct</x:v>
      </x:c>
      <x:c r="T205" s="6" t="d">
        <x:v>2024-10-01T17:26:16.000Z</x:v>
      </x:c>
      <x:c r="U205" s="6" t="str">
        <x:v>RESEARCH_WORKSPACE/ResearchTools/SaSa_Comment_Collection/data/instagram_gap_batch/DAlrf28Njbf_1792435137654821000.json</x:v>
      </x:c>
      <x:c r="V205" s="6" t="str">
        <x:v>RESEARCH_WORKSPACE/ResearchTools/SaSa_Comment_Collection/data/instagram_gap_batch/DAlrf28Njbf_1792435137654821000_position_10.png</x:v>
      </x:c>
      <x:c r="W205" s="6" t="str">
        <x:v>praise_or_other</x:v>
      </x:c>
      <x:c r="X205" s="6" t="str">
        <x:v>No explicit purchase intention or self-reported product purchase</x:v>
      </x:c>
      <x:c r="Y205" s="7" t="b">
        <x:v>0</x:v>
      </x:c>
    </x:row>
    <x:row r="206" ht="52" customHeight="1">
      <x:c r="A206" s="6" t="str">
        <x:v>instagram_17861602326247808</x:v>
      </x:c>
      <x:c r="B206" s="6" t="str">
        <x:v>instagram_DAlrf28Njbf</x:v>
      </x:c>
      <x:c r="C206" s="6" t="str">
        <x:v>Instagram</x:v>
      </x:c>
      <x:c r="D206" s="6" t="str">
        <x:v>valid</x:v>
      </x:c>
      <x:c r="E206" s="6" t="str">
        <x:v>Insane 🔥</x:v>
      </x:c>
      <x:c r="F206" s="6" t="str"/>
      <x:c r="G206" s="6" t="str">
        <x:v>Insane 🔥</x:v>
      </x:c>
      <x:c r="H206" s="6" t="str">
        <x:v>Individual text review against saved DOM; screenshots confirm unexpanded top-level presentation. No purchases inferred.</x:v>
      </x:c>
      <x:c r="I206" s="6" t="n">
        <x:v>1</x:v>
      </x:c>
      <x:c r="J206" s="6" t="n">
        <x:v>0</x:v>
      </x:c>
      <x:c r="K206" s="6" t="n">
        <x:v>0</x:v>
      </x:c>
      <x:c r="L206" s="6" t="n">
        <x:v>0</x:v>
      </x:c>
      <x:c r="M206" s="6" t="n">
        <x:v>0</x:v>
      </x:c>
      <x:c r="N206" s="6" t="n">
        <x:v>0</x:v>
      </x:c>
      <x:c r="O206" s="6" t="n">
        <x:v>0</x:v>
      </x:c>
      <x:c r="P206" s="6" t="n">
        <x:v>0</x:v>
      </x:c>
      <x:c r="Q206" s="6" t="str">
        <x:v>top_level</x:v>
      </x:c>
      <x:c r="R206" s="6" t="str">
        <x:v>2024</x:v>
      </x:c>
      <x:c r="S206" s="6" t="str">
        <x:v>Sep_Oct</x:v>
      </x:c>
      <x:c r="T206" s="6" t="d">
        <x:v>2024-10-01T17:21:00.000Z</x:v>
      </x:c>
      <x:c r="U206" s="6" t="str">
        <x:v>RESEARCH_WORKSPACE/ResearchTools/SaSa_Comment_Collection/data/instagram_gap_batch/DAlrf28Njbf_1792435137654821000.json</x:v>
      </x:c>
      <x:c r="V206" s="6" t="str">
        <x:v>RESEARCH_WORKSPACE/ResearchTools/SaSa_Comment_Collection/data/instagram_gap_batch/DAlrf28Njbf_1792435137654821000_position_11.png</x:v>
      </x:c>
      <x:c r="W206" s="6" t="str">
        <x:v>praise_or_other</x:v>
      </x:c>
      <x:c r="X206" s="6" t="str">
        <x:v>No explicit purchase intention or self-reported product purchase</x:v>
      </x:c>
      <x:c r="Y206" s="7" t="b">
        <x:v>0</x:v>
      </x:c>
    </x:row>
    <x:row r="207" ht="52" customHeight="1">
      <x:c r="A207" s="6" t="str">
        <x:v>instagram_17844510324321695</x:v>
      </x:c>
      <x:c r="B207" s="6" t="str">
        <x:v>instagram_DAlrf28Njbf</x:v>
      </x:c>
      <x:c r="C207" s="6" t="str">
        <x:v>Instagram</x:v>
      </x:c>
      <x:c r="D207" s="6" t="str">
        <x:v>valid</x:v>
      </x:c>
      <x:c r="E207" s="6" t="str">
        <x:v>Loooove</x:v>
      </x:c>
      <x:c r="F207" s="6" t="str"/>
      <x:c r="G207" s="6" t="str">
        <x:v>Loooove</x:v>
      </x:c>
      <x:c r="H207" s="6" t="str">
        <x:v>Individual text review against saved DOM; screenshots confirm unexpanded top-level presentation. No purchases inferred.</x:v>
      </x:c>
      <x:c r="I207" s="6" t="n">
        <x:v>1</x:v>
      </x:c>
      <x:c r="J207" s="6" t="n">
        <x:v>0</x:v>
      </x:c>
      <x:c r="K207" s="6" t="n">
        <x:v>0</x:v>
      </x:c>
      <x:c r="L207" s="6" t="n">
        <x:v>0</x:v>
      </x:c>
      <x:c r="M207" s="6" t="n">
        <x:v>0</x:v>
      </x:c>
      <x:c r="N207" s="6" t="n">
        <x:v>0</x:v>
      </x:c>
      <x:c r="O207" s="6" t="n">
        <x:v>0</x:v>
      </x:c>
      <x:c r="P207" s="6" t="n">
        <x:v>0</x:v>
      </x:c>
      <x:c r="Q207" s="6" t="str">
        <x:v>top_level</x:v>
      </x:c>
      <x:c r="R207" s="6" t="str">
        <x:v>2024</x:v>
      </x:c>
      <x:c r="S207" s="6" t="str">
        <x:v>Sep_Oct</x:v>
      </x:c>
      <x:c r="T207" s="6" t="d">
        <x:v>2024-10-01T17:13:26.000Z</x:v>
      </x:c>
      <x:c r="U207" s="6" t="str">
        <x:v>RESEARCH_WORKSPACE/ResearchTools/SaSa_Comment_Collection/data/instagram_gap_batch/DAlrf28Njbf_1792435137654821000.json</x:v>
      </x:c>
      <x:c r="V207" s="6" t="str">
        <x:v>RESEARCH_WORKSPACE/ResearchTools/SaSa_Comment_Collection/data/instagram_gap_batch/DAlrf28Njbf_1792435137654821000_position_12.png</x:v>
      </x:c>
      <x:c r="W207" s="6" t="str">
        <x:v>praise_or_other</x:v>
      </x:c>
      <x:c r="X207" s="6" t="str">
        <x:v>No explicit purchase intention or self-reported product purchase</x:v>
      </x:c>
      <x:c r="Y207" s="7" t="b">
        <x:v>0</x:v>
      </x:c>
    </x:row>
    <x:row r="208" ht="52" customHeight="1">
      <x:c r="A208" s="6" t="str">
        <x:v>instagram_17880791703090254</x:v>
      </x:c>
      <x:c r="B208" s="6" t="str">
        <x:v>instagram_DBCK7wjpZKe</x:v>
      </x:c>
      <x:c r="C208" s="6" t="str">
        <x:v>Instagram</x:v>
      </x:c>
      <x:c r="D208" s="6" t="str">
        <x:v>valid</x:v>
      </x:c>
      <x:c r="E208" s="6" t="str">
        <x:v>Que caneta é essa?</x:v>
      </x:c>
      <x:c r="F208" s="6" t="str">
        <x:v>What pen is that?</x:v>
      </x:c>
      <x:c r="G208" s="6" t="str">
        <x:v>Que caneta é essa?</x:v>
      </x:c>
      <x:c r="H208" s="6" t="str">
        <x:v>Unspecified pen enquiry: T8 rather than asserting a cosmetic identity.</x:v>
      </x:c>
      <x:c r="I208" s="6" t="n">
        <x:v>0</x:v>
      </x:c>
      <x:c r="J208" s="6" t="n">
        <x:v>0</x:v>
      </x:c>
      <x:c r="K208" s="6" t="n">
        <x:v>0</x:v>
      </x:c>
      <x:c r="L208" s="6" t="n">
        <x:v>0</x:v>
      </x:c>
      <x:c r="M208" s="6" t="n">
        <x:v>0</x:v>
      </x:c>
      <x:c r="N208" s="6" t="n">
        <x:v>0</x:v>
      </x:c>
      <x:c r="O208" s="6" t="n">
        <x:v>0</x:v>
      </x:c>
      <x:c r="P208" s="6" t="n">
        <x:v>1</x:v>
      </x:c>
      <x:c r="Q208" s="6" t="str">
        <x:v>top_level</x:v>
      </x:c>
      <x:c r="R208" s="6" t="str">
        <x:v>2024</x:v>
      </x:c>
      <x:c r="S208" s="6" t="str">
        <x:v>other_month</x:v>
      </x:c>
      <x:c r="T208" s="6" t="d">
        <x:v>2024-11-04T13:07:14.000Z</x:v>
      </x:c>
      <x:c r="U208" s="6" t="str">
        <x:v>RESEARCH_WORKSPACE/ResearchTools/SaSa_Comment_Collection/data/instagram_gap_batch/DBCK7wjpZKe_1792435065707736000.json</x:v>
      </x:c>
      <x:c r="V208" s="6" t="str">
        <x:v>RESEARCH_WORKSPACE/ResearchTools/SaSa_Comment_Collection/data/instagram_gap_batch/DBCK7wjpZKe_1792435065707736000_position_01.png</x:v>
      </x:c>
      <x:c r="W208" s="6" t="str">
        <x:v>praise_or_other</x:v>
      </x:c>
      <x:c r="X208" s="6" t="str">
        <x:v>No explicit purchase intention or self-reported product purchase</x:v>
      </x:c>
      <x:c r="Y208" s="7" t="b">
        <x:v>0</x:v>
      </x:c>
    </x:row>
    <x:row r="209" ht="52" customHeight="1">
      <x:c r="A209" s="6" t="str">
        <x:v>instagram_18061666540805382</x:v>
      </x:c>
      <x:c r="B209" s="6" t="str">
        <x:v>instagram_DBCK7wjpZKe</x:v>
      </x:c>
      <x:c r="C209" s="6" t="str">
        <x:v>Instagram</x:v>
      </x:c>
      <x:c r="D209" s="6" t="str">
        <x:v>excluded</x:v>
      </x:c>
      <x:c r="E209" s="6" t="str">
        <x:v>👏👏👏</x:v>
      </x:c>
      <x:c r="F209" s="6" t="str"/>
      <x:c r="G209" s="6" t="str"/>
      <x:c r="H209" s="6" t="str">
        <x:v>Emoji/tag/punctuation only, music request or personal fan message; excluded from substantive makeup analysis.</x:v>
      </x:c>
      <x:c r="I209" s="6" t="n">
        <x:v>0</x:v>
      </x:c>
      <x:c r="J209" s="6" t="n">
        <x:v>0</x:v>
      </x:c>
      <x:c r="K209" s="6" t="n">
        <x:v>0</x:v>
      </x:c>
      <x:c r="L209" s="6" t="n">
        <x:v>0</x:v>
      </x:c>
      <x:c r="M209" s="6" t="n">
        <x:v>0</x:v>
      </x:c>
      <x:c r="N209" s="6" t="n">
        <x:v>0</x:v>
      </x:c>
      <x:c r="O209" s="6" t="n">
        <x:v>0</x:v>
      </x:c>
      <x:c r="P209" s="6" t="n">
        <x:v>0</x:v>
      </x:c>
      <x:c r="Q209" s="6" t="str">
        <x:v>top_level</x:v>
      </x:c>
      <x:c r="R209" s="6" t="str">
        <x:v>2024</x:v>
      </x:c>
      <x:c r="S209" s="6" t="str">
        <x:v>other_month</x:v>
      </x:c>
      <x:c r="T209" s="6" t="d">
        <x:v>2024-11-03T18:34:52.000Z</x:v>
      </x:c>
      <x:c r="U209" s="6" t="str">
        <x:v>RESEARCH_WORKSPACE/ResearchTools/SaSa_Comment_Collection/data/instagram_gap_batch/DBCK7wjpZKe_1792435065707736000.json</x:v>
      </x:c>
      <x:c r="V209" s="6" t="str">
        <x:v>RESEARCH_WORKSPACE/ResearchTools/SaSa_Comment_Collection/data/instagram_gap_batch/DBCK7wjpZKe_1792435065707736000_position_02.png</x:v>
      </x:c>
      <x:c r="W209" s="6" t="str">
        <x:v>praise_or_other</x:v>
      </x:c>
      <x:c r="X209" s="6" t="str">
        <x:v>No explicit purchase intention or self-reported product purchase</x:v>
      </x:c>
      <x:c r="Y209" s="7" t="b">
        <x:v>0</x:v>
      </x:c>
    </x:row>
    <x:row r="210" ht="52" customHeight="1">
      <x:c r="A210" s="6" t="str">
        <x:v>instagram_18094647616471915</x:v>
      </x:c>
      <x:c r="B210" s="6" t="str">
        <x:v>instagram_DBCK7wjpZKe</x:v>
      </x:c>
      <x:c r="C210" s="6" t="str">
        <x:v>Instagram</x:v>
      </x:c>
      <x:c r="D210" s="6" t="str">
        <x:v>excluded</x:v>
      </x:c>
      <x:c r="E210" s="6" t="str">
        <x:v>👏👏</x:v>
      </x:c>
      <x:c r="F210" s="6" t="str"/>
      <x:c r="G210" s="6" t="str"/>
      <x:c r="H210" s="6" t="str">
        <x:v>Emoji/tag/punctuation only, music request or personal fan message; excluded from substantive makeup analysis.</x:v>
      </x:c>
      <x:c r="I210" s="6" t="n">
        <x:v>0</x:v>
      </x:c>
      <x:c r="J210" s="6" t="n">
        <x:v>0</x:v>
      </x:c>
      <x:c r="K210" s="6" t="n">
        <x:v>0</x:v>
      </x:c>
      <x:c r="L210" s="6" t="n">
        <x:v>0</x:v>
      </x:c>
      <x:c r="M210" s="6" t="n">
        <x:v>0</x:v>
      </x:c>
      <x:c r="N210" s="6" t="n">
        <x:v>0</x:v>
      </x:c>
      <x:c r="O210" s="6" t="n">
        <x:v>0</x:v>
      </x:c>
      <x:c r="P210" s="6" t="n">
        <x:v>0</x:v>
      </x:c>
      <x:c r="Q210" s="6" t="str">
        <x:v>top_level</x:v>
      </x:c>
      <x:c r="R210" s="6" t="str">
        <x:v>2024</x:v>
      </x:c>
      <x:c r="S210" s="6" t="str">
        <x:v>other_month</x:v>
      </x:c>
      <x:c r="T210" s="6" t="d">
        <x:v>2024-11-01T17:58:27.000Z</x:v>
      </x:c>
      <x:c r="U210" s="6" t="str">
        <x:v>RESEARCH_WORKSPACE/ResearchTools/SaSa_Comment_Collection/data/instagram_gap_batch/DBCK7wjpZKe_1792435065707736000.json</x:v>
      </x:c>
      <x:c r="V210" s="6" t="str">
        <x:v>RESEARCH_WORKSPACE/ResearchTools/SaSa_Comment_Collection/data/instagram_gap_batch/DBCK7wjpZKe_1792435065707736000_position_03.png</x:v>
      </x:c>
      <x:c r="W210" s="6" t="str">
        <x:v>praise_or_other</x:v>
      </x:c>
      <x:c r="X210" s="6" t="str">
        <x:v>No explicit purchase intention or self-reported product purchase</x:v>
      </x:c>
      <x:c r="Y210" s="7" t="b">
        <x:v>0</x:v>
      </x:c>
    </x:row>
    <x:row r="211" ht="52" customHeight="1">
      <x:c r="A211" s="6" t="str">
        <x:v>instagram_18045176845882837</x:v>
      </x:c>
      <x:c r="B211" s="6" t="str">
        <x:v>instagram_DBCK7wjpZKe</x:v>
      </x:c>
      <x:c r="C211" s="6" t="str">
        <x:v>Instagram</x:v>
      </x:c>
      <x:c r="D211" s="6" t="str">
        <x:v>excluded</x:v>
      </x:c>
      <x:c r="E211" s="6" t="str">
        <x:v>Music</x:v>
      </x:c>
      <x:c r="F211" s="6" t="str"/>
      <x:c r="G211" s="6" t="str"/>
      <x:c r="H211" s="6" t="str">
        <x:v>Emoji/tag/punctuation only, music request or personal fan message; excluded from substantive makeup analysis.</x:v>
      </x:c>
      <x:c r="I211" s="6" t="n">
        <x:v>0</x:v>
      </x:c>
      <x:c r="J211" s="6" t="n">
        <x:v>0</x:v>
      </x:c>
      <x:c r="K211" s="6" t="n">
        <x:v>0</x:v>
      </x:c>
      <x:c r="L211" s="6" t="n">
        <x:v>0</x:v>
      </x:c>
      <x:c r="M211" s="6" t="n">
        <x:v>0</x:v>
      </x:c>
      <x:c r="N211" s="6" t="n">
        <x:v>0</x:v>
      </x:c>
      <x:c r="O211" s="6" t="n">
        <x:v>0</x:v>
      </x:c>
      <x:c r="P211" s="6" t="n">
        <x:v>0</x:v>
      </x:c>
      <x:c r="Q211" s="6" t="str">
        <x:v>top_level</x:v>
      </x:c>
      <x:c r="R211" s="6" t="str">
        <x:v>2024</x:v>
      </x:c>
      <x:c r="S211" s="6" t="str">
        <x:v>other_month</x:v>
      </x:c>
      <x:c r="T211" s="6" t="d">
        <x:v>2024-10-31T21:13:57.000Z</x:v>
      </x:c>
      <x:c r="U211" s="6" t="str">
        <x:v>RESEARCH_WORKSPACE/ResearchTools/SaSa_Comment_Collection/data/instagram_gap_batch/DBCK7wjpZKe_1792435065707736000.json</x:v>
      </x:c>
      <x:c r="V211" s="6" t="str">
        <x:v>RESEARCH_WORKSPACE/ResearchTools/SaSa_Comment_Collection/data/instagram_gap_batch/DBCK7wjpZKe_1792435065707736000_position_04.png</x:v>
      </x:c>
      <x:c r="W211" s="6" t="str">
        <x:v>praise_or_other</x:v>
      </x:c>
      <x:c r="X211" s="6" t="str">
        <x:v>No explicit purchase intention or self-reported product purchase</x:v>
      </x:c>
      <x:c r="Y211" s="7" t="b">
        <x:v>0</x:v>
      </x:c>
    </x:row>
    <x:row r="212" ht="52" customHeight="1">
      <x:c r="A212" s="6" t="str">
        <x:v>instagram_18094557013471938</x:v>
      </x:c>
      <x:c r="B212" s="6" t="str">
        <x:v>instagram_DBCK7wjpZKe</x:v>
      </x:c>
      <x:c r="C212" s="6" t="str">
        <x:v>Instagram</x:v>
      </x:c>
      <x:c r="D212" s="6" t="str">
        <x:v>valid</x:v>
      </x:c>
      <x:c r="E212" s="6" t="str">
        <x:v>Súper</x:v>
      </x:c>
      <x:c r="F212" s="6" t="str">
        <x:v>Super</x:v>
      </x:c>
      <x:c r="G212" s="6" t="str">
        <x:v>Súper</x:v>
      </x:c>
      <x:c r="H212" s="6" t="str">
        <x:v>Individual text review against saved DOM; screenshots confirm unexpanded top-level presentation. No purchases inferred.</x:v>
      </x:c>
      <x:c r="I212" s="6" t="n">
        <x:v>1</x:v>
      </x:c>
      <x:c r="J212" s="6" t="n">
        <x:v>0</x:v>
      </x:c>
      <x:c r="K212" s="6" t="n">
        <x:v>0</x:v>
      </x:c>
      <x:c r="L212" s="6" t="n">
        <x:v>0</x:v>
      </x:c>
      <x:c r="M212" s="6" t="n">
        <x:v>0</x:v>
      </x:c>
      <x:c r="N212" s="6" t="n">
        <x:v>0</x:v>
      </x:c>
      <x:c r="O212" s="6" t="n">
        <x:v>0</x:v>
      </x:c>
      <x:c r="P212" s="6" t="n">
        <x:v>0</x:v>
      </x:c>
      <x:c r="Q212" s="6" t="str">
        <x:v>top_level</x:v>
      </x:c>
      <x:c r="R212" s="6" t="str">
        <x:v>2024</x:v>
      </x:c>
      <x:c r="S212" s="6" t="str">
        <x:v>other_month</x:v>
      </x:c>
      <x:c r="T212" s="6" t="d">
        <x:v>2024-10-31T18:56:40.000Z</x:v>
      </x:c>
      <x:c r="U212" s="6" t="str">
        <x:v>RESEARCH_WORKSPACE/ResearchTools/SaSa_Comment_Collection/data/instagram_gap_batch/DBCK7wjpZKe_1792435065707736000.json</x:v>
      </x:c>
      <x:c r="V212" s="6" t="str">
        <x:v>RESEARCH_WORKSPACE/ResearchTools/SaSa_Comment_Collection/data/instagram_gap_batch/DBCK7wjpZKe_1792435065707736000_position_05.png</x:v>
      </x:c>
      <x:c r="W212" s="6" t="str">
        <x:v>praise_or_other</x:v>
      </x:c>
      <x:c r="X212" s="6" t="str">
        <x:v>No explicit purchase intention or self-reported product purchase</x:v>
      </x:c>
      <x:c r="Y212" s="7" t="b">
        <x:v>0</x:v>
      </x:c>
    </x:row>
    <x:row r="213" ht="52" customHeight="1">
      <x:c r="A213" s="6" t="str">
        <x:v>instagram_18361484965142752</x:v>
      </x:c>
      <x:c r="B213" s="6" t="str">
        <x:v>instagram_DBCK7wjpZKe</x:v>
      </x:c>
      <x:c r="C213" s="6" t="str">
        <x:v>Instagram</x:v>
      </x:c>
      <x:c r="D213" s="6" t="str">
        <x:v>valid</x:v>
      </x:c>
      <x:c r="E213" s="6" t="str">
        <x:v>Magnifique. Classe .voyant mais pas trop ❤️❤️❤️❤️</x:v>
      </x:c>
      <x:c r="F213" s="6" t="str">
        <x:v>Magnificent. Classy. Noticeable but not too much.</x:v>
      </x:c>
      <x:c r="G213" s="6" t="str">
        <x:v>Magnifique. Classe .voyant mais pas trop ❤️❤️❤️❤️</x:v>
      </x:c>
      <x:c r="H213" s="6" t="str">
        <x:v>Individual text review against saved DOM; screenshots confirm unexpanded top-level presentation. No purchases inferred.</x:v>
      </x:c>
      <x:c r="I213" s="6" t="n">
        <x:v>1</x:v>
      </x:c>
      <x:c r="J213" s="6" t="n">
        <x:v>0</x:v>
      </x:c>
      <x:c r="K213" s="6" t="n">
        <x:v>0</x:v>
      </x:c>
      <x:c r="L213" s="6" t="n">
        <x:v>0</x:v>
      </x:c>
      <x:c r="M213" s="6" t="n">
        <x:v>0</x:v>
      </x:c>
      <x:c r="N213" s="6" t="n">
        <x:v>0</x:v>
      </x:c>
      <x:c r="O213" s="6" t="n">
        <x:v>0</x:v>
      </x:c>
      <x:c r="P213" s="6" t="n">
        <x:v>0</x:v>
      </x:c>
      <x:c r="Q213" s="6" t="str">
        <x:v>top_level</x:v>
      </x:c>
      <x:c r="R213" s="6" t="str">
        <x:v>2024</x:v>
      </x:c>
      <x:c r="S213" s="6" t="str">
        <x:v>other_month</x:v>
      </x:c>
      <x:c r="T213" s="6" t="d">
        <x:v>2024-10-31T18:37:17.000Z</x:v>
      </x:c>
      <x:c r="U213" s="6" t="str">
        <x:v>RESEARCH_WORKSPACE/ResearchTools/SaSa_Comment_Collection/data/instagram_gap_batch/DBCK7wjpZKe_1792435065707736000.json</x:v>
      </x:c>
      <x:c r="V213" s="6" t="str">
        <x:v>RESEARCH_WORKSPACE/ResearchTools/SaSa_Comment_Collection/data/instagram_gap_batch/DBCK7wjpZKe_1792435065707736000_position_06.png</x:v>
      </x:c>
      <x:c r="W213" s="6" t="str">
        <x:v>praise_or_other</x:v>
      </x:c>
      <x:c r="X213" s="6" t="str">
        <x:v>No explicit purchase intention or self-reported product purchase</x:v>
      </x:c>
      <x:c r="Y213" s="7" t="b">
        <x:v>0</x:v>
      </x:c>
    </x:row>
    <x:row r="214" ht="52" customHeight="1">
      <x:c r="A214" s="6" t="str">
        <x:v>instagram_17879578413170247</x:v>
      </x:c>
      <x:c r="B214" s="6" t="str">
        <x:v>instagram_DBCK7wjpZKe</x:v>
      </x:c>
      <x:c r="C214" s="6" t="str">
        <x:v>Instagram</x:v>
      </x:c>
      <x:c r="D214" s="6" t="str">
        <x:v>excluded</x:v>
      </x:c>
      <x:c r="E214" s="6" t="str">
        <x:v>❤️❤️❤️</x:v>
      </x:c>
      <x:c r="F214" s="6" t="str"/>
      <x:c r="G214" s="6" t="str"/>
      <x:c r="H214" s="6" t="str">
        <x:v>Emoji/tag/punctuation only, music request or personal fan message; excluded from substantive makeup analysis.</x:v>
      </x:c>
      <x:c r="I214" s="6" t="n">
        <x:v>0</x:v>
      </x:c>
      <x:c r="J214" s="6" t="n">
        <x:v>0</x:v>
      </x:c>
      <x:c r="K214" s="6" t="n">
        <x:v>0</x:v>
      </x:c>
      <x:c r="L214" s="6" t="n">
        <x:v>0</x:v>
      </x:c>
      <x:c r="M214" s="6" t="n">
        <x:v>0</x:v>
      </x:c>
      <x:c r="N214" s="6" t="n">
        <x:v>0</x:v>
      </x:c>
      <x:c r="O214" s="6" t="n">
        <x:v>0</x:v>
      </x:c>
      <x:c r="P214" s="6" t="n">
        <x:v>0</x:v>
      </x:c>
      <x:c r="Q214" s="6" t="str">
        <x:v>top_level</x:v>
      </x:c>
      <x:c r="R214" s="6" t="str">
        <x:v>2024</x:v>
      </x:c>
      <x:c r="S214" s="6" t="str">
        <x:v>Sep_Oct</x:v>
      </x:c>
      <x:c r="T214" s="6" t="d">
        <x:v>2024-10-31T11:19:03.000Z</x:v>
      </x:c>
      <x:c r="U214" s="6" t="str">
        <x:v>RESEARCH_WORKSPACE/ResearchTools/SaSa_Comment_Collection/data/instagram_gap_batch/DBCK7wjpZKe_1792435065707736000.json</x:v>
      </x:c>
      <x:c r="V214" s="6" t="str">
        <x:v>RESEARCH_WORKSPACE/ResearchTools/SaSa_Comment_Collection/data/instagram_gap_batch/DBCK7wjpZKe_1792435065707736000_position_07.png</x:v>
      </x:c>
      <x:c r="W214" s="6" t="str">
        <x:v>praise_or_other</x:v>
      </x:c>
      <x:c r="X214" s="6" t="str">
        <x:v>No explicit purchase intention or self-reported product purchase</x:v>
      </x:c>
      <x:c r="Y214" s="7" t="b">
        <x:v>0</x:v>
      </x:c>
    </x:row>
    <x:row r="215" ht="52" customHeight="1">
      <x:c r="A215" s="6" t="str">
        <x:v>instagram_18047202070850077</x:v>
      </x:c>
      <x:c r="B215" s="6" t="str">
        <x:v>instagram_DBCK7wjpZKe</x:v>
      </x:c>
      <x:c r="C215" s="6" t="str">
        <x:v>Instagram</x:v>
      </x:c>
      <x:c r="D215" s="6" t="str">
        <x:v>excluded</x:v>
      </x:c>
      <x:c r="E215" s="6" t="str">
        <x:v>😍</x:v>
      </x:c>
      <x:c r="F215" s="6" t="str"/>
      <x:c r="G215" s="6" t="str"/>
      <x:c r="H215" s="6" t="str">
        <x:v>Emoji/tag/punctuation only, music request or personal fan message; excluded from substantive makeup analysis.</x:v>
      </x:c>
      <x:c r="I215" s="6" t="n">
        <x:v>0</x:v>
      </x:c>
      <x:c r="J215" s="6" t="n">
        <x:v>0</x:v>
      </x:c>
      <x:c r="K215" s="6" t="n">
        <x:v>0</x:v>
      </x:c>
      <x:c r="L215" s="6" t="n">
        <x:v>0</x:v>
      </x:c>
      <x:c r="M215" s="6" t="n">
        <x:v>0</x:v>
      </x:c>
      <x:c r="N215" s="6" t="n">
        <x:v>0</x:v>
      </x:c>
      <x:c r="O215" s="6" t="n">
        <x:v>0</x:v>
      </x:c>
      <x:c r="P215" s="6" t="n">
        <x:v>0</x:v>
      </x:c>
      <x:c r="Q215" s="6" t="str">
        <x:v>top_level</x:v>
      </x:c>
      <x:c r="R215" s="6" t="str">
        <x:v>2024</x:v>
      </x:c>
      <x:c r="S215" s="6" t="str">
        <x:v>Sep_Oct</x:v>
      </x:c>
      <x:c r="T215" s="6" t="d">
        <x:v>2024-10-30T23:10:07.000Z</x:v>
      </x:c>
      <x:c r="U215" s="6" t="str">
        <x:v>RESEARCH_WORKSPACE/ResearchTools/SaSa_Comment_Collection/data/instagram_gap_batch/DBCK7wjpZKe_1792435065707736000.json</x:v>
      </x:c>
      <x:c r="V215" s="6" t="str">
        <x:v>RESEARCH_WORKSPACE/ResearchTools/SaSa_Comment_Collection/data/instagram_gap_batch/DBCK7wjpZKe_1792435065707736000_position_08.png</x:v>
      </x:c>
      <x:c r="W215" s="6" t="str">
        <x:v>praise_or_other</x:v>
      </x:c>
      <x:c r="X215" s="6" t="str">
        <x:v>No explicit purchase intention or self-reported product purchase</x:v>
      </x:c>
      <x:c r="Y215" s="7" t="b">
        <x:v>0</x:v>
      </x:c>
    </x:row>
    <x:row r="216" ht="52" customHeight="1">
      <x:c r="A216" s="6" t="str">
        <x:v>instagram_18038855281986240</x:v>
      </x:c>
      <x:c r="B216" s="6" t="str">
        <x:v>instagram_DBCK7wjpZKe</x:v>
      </x:c>
      <x:c r="C216" s="6" t="str">
        <x:v>Instagram</x:v>
      </x:c>
      <x:c r="D216" s="6" t="str">
        <x:v>excluded</x:v>
      </x:c>
      <x:c r="E216" s="6" t="str">
        <x:v>@[anonymised]</x:v>
      </x:c>
      <x:c r="F216" s="6" t="str"/>
      <x:c r="G216" s="6" t="str"/>
      <x:c r="H216" s="6" t="str">
        <x:v>Emoji/tag/punctuation only, music request or personal fan message; excluded from substantive makeup analysis.</x:v>
      </x:c>
      <x:c r="I216" s="6" t="n">
        <x:v>0</x:v>
      </x:c>
      <x:c r="J216" s="6" t="n">
        <x:v>0</x:v>
      </x:c>
      <x:c r="K216" s="6" t="n">
        <x:v>0</x:v>
      </x:c>
      <x:c r="L216" s="6" t="n">
        <x:v>0</x:v>
      </x:c>
      <x:c r="M216" s="6" t="n">
        <x:v>0</x:v>
      </x:c>
      <x:c r="N216" s="6" t="n">
        <x:v>0</x:v>
      </x:c>
      <x:c r="O216" s="6" t="n">
        <x:v>0</x:v>
      </x:c>
      <x:c r="P216" s="6" t="n">
        <x:v>0</x:v>
      </x:c>
      <x:c r="Q216" s="6" t="str">
        <x:v>top_level</x:v>
      </x:c>
      <x:c r="R216" s="6" t="str">
        <x:v>2024</x:v>
      </x:c>
      <x:c r="S216" s="6" t="str">
        <x:v>Sep_Oct</x:v>
      </x:c>
      <x:c r="T216" s="6" t="d">
        <x:v>2024-10-30T07:54:53.000Z</x:v>
      </x:c>
      <x:c r="U216" s="6" t="str">
        <x:v>RESEARCH_WORKSPACE/ResearchTools/SaSa_Comment_Collection/data/instagram_gap_batch/DBCK7wjpZKe_1792435065707736000.json</x:v>
      </x:c>
      <x:c r="V216" s="6" t="str">
        <x:v>RESEARCH_WORKSPACE/ResearchTools/SaSa_Comment_Collection/data/instagram_gap_batch/DBCK7wjpZKe_1792435065707736000_position_09.png</x:v>
      </x:c>
      <x:c r="W216" s="6" t="str">
        <x:v>praise_or_other</x:v>
      </x:c>
      <x:c r="X216" s="6" t="str">
        <x:v>No explicit purchase intention or self-reported product purchase</x:v>
      </x:c>
      <x:c r="Y216" s="7" t="b">
        <x:v>0</x:v>
      </x:c>
    </x:row>
    <x:row r="217" ht="52" customHeight="1">
      <x:c r="A217" s="6" t="str">
        <x:v>instagram_18043406819033229</x:v>
      </x:c>
      <x:c r="B217" s="6" t="str">
        <x:v>instagram_DBCK7wjpZKe</x:v>
      </x:c>
      <x:c r="C217" s="6" t="str">
        <x:v>Instagram</x:v>
      </x:c>
      <x:c r="D217" s="6" t="str">
        <x:v>valid</x:v>
      </x:c>
      <x:c r="E217" s="6" t="str">
        <x:v>Great idea❤️are you using black liquid liner</x:v>
      </x:c>
      <x:c r="F217" s="6" t="str"/>
      <x:c r="G217" s="6" t="str">
        <x:v>Great idea❤️are you using black liquid liner</x:v>
      </x:c>
      <x:c r="H217" s="6" t="str">
        <x:v>Individual text review against saved DOM; screenshots confirm unexpanded top-level presentation. No purchases inferred.</x:v>
      </x:c>
      <x:c r="I217" s="6" t="n">
        <x:v>1</x:v>
      </x:c>
      <x:c r="J217" s="6" t="n">
        <x:v>0</x:v>
      </x:c>
      <x:c r="K217" s="6" t="n">
        <x:v>1</x:v>
      </x:c>
      <x:c r="L217" s="6" t="n">
        <x:v>0</x:v>
      </x:c>
      <x:c r="M217" s="6" t="n">
        <x:v>0</x:v>
      </x:c>
      <x:c r="N217" s="6" t="n">
        <x:v>0</x:v>
      </x:c>
      <x:c r="O217" s="6" t="n">
        <x:v>0</x:v>
      </x:c>
      <x:c r="P217" s="6" t="n">
        <x:v>0</x:v>
      </x:c>
      <x:c r="Q217" s="6" t="str">
        <x:v>top_level</x:v>
      </x:c>
      <x:c r="R217" s="6" t="str">
        <x:v>2024</x:v>
      </x:c>
      <x:c r="S217" s="6" t="str">
        <x:v>Sep_Oct</x:v>
      </x:c>
      <x:c r="T217" s="6" t="d">
        <x:v>2024-10-30T07:33:12.000Z</x:v>
      </x:c>
      <x:c r="U217" s="6" t="str">
        <x:v>RESEARCH_WORKSPACE/ResearchTools/SaSa_Comment_Collection/data/instagram_gap_batch/DBCK7wjpZKe_1792435065707736000.json</x:v>
      </x:c>
      <x:c r="V217" s="6" t="str">
        <x:v>RESEARCH_WORKSPACE/ResearchTools/SaSa_Comment_Collection/data/instagram_gap_batch/DBCK7wjpZKe_1792435065707736000_position_10.png</x:v>
      </x:c>
      <x:c r="W217" s="6" t="str">
        <x:v>information_request</x:v>
      </x:c>
      <x:c r="X217" s="6" t="str">
        <x:v>No explicit purchase intention or self-reported product purchase</x:v>
      </x:c>
      <x:c r="Y217" s="7" t="b">
        <x:v>0</x:v>
      </x:c>
    </x:row>
    <x:row r="218" ht="52" customHeight="1">
      <x:c r="A218" s="6" t="str">
        <x:v>instagram_18086630488506332</x:v>
      </x:c>
      <x:c r="B218" s="6" t="str">
        <x:v>instagram_DBCK7wjpZKe</x:v>
      </x:c>
      <x:c r="C218" s="6" t="str">
        <x:v>Instagram</x:v>
      </x:c>
      <x:c r="D218" s="6" t="str">
        <x:v>excluded</x:v>
      </x:c>
      <x:c r="E218" s="6" t="str">
        <x:v>@[anonymised]</x:v>
      </x:c>
      <x:c r="F218" s="6" t="str"/>
      <x:c r="G218" s="6" t="str"/>
      <x:c r="H218" s="6" t="str">
        <x:v>Emoji/tag/punctuation only, music request or personal fan message; excluded from substantive makeup analysis.</x:v>
      </x:c>
      <x:c r="I218" s="6" t="n">
        <x:v>0</x:v>
      </x:c>
      <x:c r="J218" s="6" t="n">
        <x:v>0</x:v>
      </x:c>
      <x:c r="K218" s="6" t="n">
        <x:v>0</x:v>
      </x:c>
      <x:c r="L218" s="6" t="n">
        <x:v>0</x:v>
      </x:c>
      <x:c r="M218" s="6" t="n">
        <x:v>0</x:v>
      </x:c>
      <x:c r="N218" s="6" t="n">
        <x:v>0</x:v>
      </x:c>
      <x:c r="O218" s="6" t="n">
        <x:v>0</x:v>
      </x:c>
      <x:c r="P218" s="6" t="n">
        <x:v>0</x:v>
      </x:c>
      <x:c r="Q218" s="6" t="str">
        <x:v>top_level</x:v>
      </x:c>
      <x:c r="R218" s="6" t="str">
        <x:v>2024</x:v>
      </x:c>
      <x:c r="S218" s="6" t="str">
        <x:v>Sep_Oct</x:v>
      </x:c>
      <x:c r="T218" s="6" t="d">
        <x:v>2024-10-29T10:47:46.000Z</x:v>
      </x:c>
      <x:c r="U218" s="6" t="str">
        <x:v>RESEARCH_WORKSPACE/ResearchTools/SaSa_Comment_Collection/data/instagram_gap_batch/DBCK7wjpZKe_1792435065707736000.json</x:v>
      </x:c>
      <x:c r="V218" s="6" t="str">
        <x:v>RESEARCH_WORKSPACE/ResearchTools/SaSa_Comment_Collection/data/instagram_gap_batch/DBCK7wjpZKe_1792435065707736000_position_11.png</x:v>
      </x:c>
      <x:c r="W218" s="6" t="str">
        <x:v>praise_or_other</x:v>
      </x:c>
      <x:c r="X218" s="6" t="str">
        <x:v>No explicit purchase intention or self-reported product purchase</x:v>
      </x:c>
      <x:c r="Y218" s="7" t="b">
        <x:v>0</x:v>
      </x:c>
    </x:row>
    <x:row r="219" ht="52" customHeight="1">
      <x:c r="A219" s="6" t="str">
        <x:v>instagram_17922111311989882</x:v>
      </x:c>
      <x:c r="B219" s="6" t="str">
        <x:v>instagram_DBCK7wjpZKe</x:v>
      </x:c>
      <x:c r="C219" s="6" t="str">
        <x:v>Instagram</x:v>
      </x:c>
      <x:c r="D219" s="6" t="str">
        <x:v>excluded</x:v>
      </x:c>
      <x:c r="E219" s="6" t="str">
        <x:v>😍😍😍😍😍😍😍</x:v>
      </x:c>
      <x:c r="F219" s="6" t="str"/>
      <x:c r="G219" s="6" t="str"/>
      <x:c r="H219" s="6" t="str">
        <x:v>Emoji/tag/punctuation only, music request or personal fan message; excluded from substantive makeup analysis.</x:v>
      </x:c>
      <x:c r="I219" s="6" t="n">
        <x:v>0</x:v>
      </x:c>
      <x:c r="J219" s="6" t="n">
        <x:v>0</x:v>
      </x:c>
      <x:c r="K219" s="6" t="n">
        <x:v>0</x:v>
      </x:c>
      <x:c r="L219" s="6" t="n">
        <x:v>0</x:v>
      </x:c>
      <x:c r="M219" s="6" t="n">
        <x:v>0</x:v>
      </x:c>
      <x:c r="N219" s="6" t="n">
        <x:v>0</x:v>
      </x:c>
      <x:c r="O219" s="6" t="n">
        <x:v>0</x:v>
      </x:c>
      <x:c r="P219" s="6" t="n">
        <x:v>0</x:v>
      </x:c>
      <x:c r="Q219" s="6" t="str">
        <x:v>top_level</x:v>
      </x:c>
      <x:c r="R219" s="6" t="str">
        <x:v>2024</x:v>
      </x:c>
      <x:c r="S219" s="6" t="str">
        <x:v>Sep_Oct</x:v>
      </x:c>
      <x:c r="T219" s="6" t="d">
        <x:v>2024-10-28T16:14:03.000Z</x:v>
      </x:c>
      <x:c r="U219" s="6" t="str">
        <x:v>RESEARCH_WORKSPACE/ResearchTools/SaSa_Comment_Collection/data/instagram_gap_batch/DBCK7wjpZKe_1792435065707736000.json</x:v>
      </x:c>
      <x:c r="V219" s="6" t="str">
        <x:v>RESEARCH_WORKSPACE/ResearchTools/SaSa_Comment_Collection/data/instagram_gap_batch/DBCK7wjpZKe_1792435065707736000_position_12.png</x:v>
      </x:c>
      <x:c r="W219" s="6" t="str">
        <x:v>praise_or_other</x:v>
      </x:c>
      <x:c r="X219" s="6" t="str">
        <x:v>No explicit purchase intention or self-reported product purchase</x:v>
      </x:c>
      <x:c r="Y219" s="7" t="b">
        <x:v>0</x:v>
      </x:c>
    </x:row>
    <x:row r="220" ht="52" customHeight="1">
      <x:c r="A220" s="6" t="str">
        <x:v>instagram_18011900783417139</x:v>
      </x:c>
      <x:c r="B220" s="6" t="str">
        <x:v>instagram_DBCK7wjpZKe</x:v>
      </x:c>
      <x:c r="C220" s="6" t="str">
        <x:v>Instagram</x:v>
      </x:c>
      <x:c r="D220" s="6" t="str">
        <x:v>excluded</x:v>
      </x:c>
      <x:c r="E220" s="6" t="str">
        <x:v>;......,,......,......</x:v>
      </x:c>
      <x:c r="F220" s="6" t="str"/>
      <x:c r="G220" s="6" t="str"/>
      <x:c r="H220" s="6" t="str">
        <x:v>Emoji/tag/punctuation only, music request or personal fan message; excluded from substantive makeup analysis.</x:v>
      </x:c>
      <x:c r="I220" s="6" t="n">
        <x:v>0</x:v>
      </x:c>
      <x:c r="J220" s="6" t="n">
        <x:v>0</x:v>
      </x:c>
      <x:c r="K220" s="6" t="n">
        <x:v>0</x:v>
      </x:c>
      <x:c r="L220" s="6" t="n">
        <x:v>0</x:v>
      </x:c>
      <x:c r="M220" s="6" t="n">
        <x:v>0</x:v>
      </x:c>
      <x:c r="N220" s="6" t="n">
        <x:v>0</x:v>
      </x:c>
      <x:c r="O220" s="6" t="n">
        <x:v>0</x:v>
      </x:c>
      <x:c r="P220" s="6" t="n">
        <x:v>0</x:v>
      </x:c>
      <x:c r="Q220" s="6" t="str">
        <x:v>top_level</x:v>
      </x:c>
      <x:c r="R220" s="6" t="str">
        <x:v>2024</x:v>
      </x:c>
      <x:c r="S220" s="6" t="str">
        <x:v>Sep_Oct</x:v>
      </x:c>
      <x:c r="T220" s="6" t="d">
        <x:v>2024-10-28T12:16:52.000Z</x:v>
      </x:c>
      <x:c r="U220" s="6" t="str">
        <x:v>RESEARCH_WORKSPACE/ResearchTools/SaSa_Comment_Collection/data/instagram_gap_batch/DBCK7wjpZKe_1792435065707736000.json</x:v>
      </x:c>
      <x:c r="V220" s="6" t="str">
        <x:v>RESEARCH_WORKSPACE/ResearchTools/SaSa_Comment_Collection/data/instagram_gap_batch/DBCK7wjpZKe_1792435065707736000_position_13.png</x:v>
      </x:c>
      <x:c r="W220" s="6" t="str">
        <x:v>praise_or_other</x:v>
      </x:c>
      <x:c r="X220" s="6" t="str">
        <x:v>No explicit purchase intention or self-reported product purchase</x:v>
      </x:c>
      <x:c r="Y220" s="7" t="b">
        <x:v>0</x:v>
      </x:c>
    </x:row>
    <x:row r="221" ht="52" customHeight="1">
      <x:c r="A221" s="6" t="str">
        <x:v>instagram_18069239692621425</x:v>
      </x:c>
      <x:c r="B221" s="6" t="str">
        <x:v>instagram_DBCK7wjpZKe</x:v>
      </x:c>
      <x:c r="C221" s="6" t="str">
        <x:v>Instagram</x:v>
      </x:c>
      <x:c r="D221" s="6" t="str">
        <x:v>excluded</x:v>
      </x:c>
      <x:c r="E221" s="6" t="str">
        <x:v>😍😍😍😍</x:v>
      </x:c>
      <x:c r="F221" s="6" t="str"/>
      <x:c r="G221" s="6" t="str"/>
      <x:c r="H221" s="6" t="str">
        <x:v>Emoji/tag/punctuation only, music request or personal fan message; excluded from substantive makeup analysis.</x:v>
      </x:c>
      <x:c r="I221" s="6" t="n">
        <x:v>0</x:v>
      </x:c>
      <x:c r="J221" s="6" t="n">
        <x:v>0</x:v>
      </x:c>
      <x:c r="K221" s="6" t="n">
        <x:v>0</x:v>
      </x:c>
      <x:c r="L221" s="6" t="n">
        <x:v>0</x:v>
      </x:c>
      <x:c r="M221" s="6" t="n">
        <x:v>0</x:v>
      </x:c>
      <x:c r="N221" s="6" t="n">
        <x:v>0</x:v>
      </x:c>
      <x:c r="O221" s="6" t="n">
        <x:v>0</x:v>
      </x:c>
      <x:c r="P221" s="6" t="n">
        <x:v>0</x:v>
      </x:c>
      <x:c r="Q221" s="6" t="str">
        <x:v>top_level</x:v>
      </x:c>
      <x:c r="R221" s="6" t="str">
        <x:v>2024</x:v>
      </x:c>
      <x:c r="S221" s="6" t="str">
        <x:v>Sep_Oct</x:v>
      </x:c>
      <x:c r="T221" s="6" t="d">
        <x:v>2024-10-27T11:51:28.000Z</x:v>
      </x:c>
      <x:c r="U221" s="6" t="str">
        <x:v>RESEARCH_WORKSPACE/ResearchTools/SaSa_Comment_Collection/data/instagram_gap_batch/DBCK7wjpZKe_1792435065707736000.json</x:v>
      </x:c>
      <x:c r="V221" s="6" t="str">
        <x:v>RESEARCH_WORKSPACE/ResearchTools/SaSa_Comment_Collection/data/instagram_gap_batch/DBCK7wjpZKe_1792435065707736000_position_14.png</x:v>
      </x:c>
      <x:c r="W221" s="6" t="str">
        <x:v>praise_or_other</x:v>
      </x:c>
      <x:c r="X221" s="6" t="str">
        <x:v>No explicit purchase intention or self-reported product purchase</x:v>
      </x:c>
      <x:c r="Y221" s="7" t="b">
        <x:v>0</x:v>
      </x:c>
    </x:row>
    <x:row r="222" ht="52" customHeight="1">
      <x:c r="A222" s="6" t="str">
        <x:v>instagram_18106189304278850</x:v>
      </x:c>
      <x:c r="B222" s="6" t="str">
        <x:v>instagram_DBHO7-1CUzs</x:v>
      </x:c>
      <x:c r="C222" s="6" t="str">
        <x:v>Instagram</x:v>
      </x:c>
      <x:c r="D222" s="6" t="str">
        <x:v>valid</x:v>
      </x:c>
      <x:c r="E222" s="6" t="str">
        <x:v>Love the sparkly tears 🖤</x:v>
      </x:c>
      <x:c r="F222" s="6" t="str"/>
      <x:c r="G222" s="6" t="str">
        <x:v>Love the sparkly tears 🖤</x:v>
      </x:c>
      <x:c r="H222" s="6" t="str">
        <x:v>Individual text review against saved DOM; screenshots confirm unexpanded top-level presentation. No purchases inferred.</x:v>
      </x:c>
      <x:c r="I222" s="6" t="n">
        <x:v>1</x:v>
      </x:c>
      <x:c r="J222" s="6" t="n">
        <x:v>0</x:v>
      </x:c>
      <x:c r="K222" s="6" t="n">
        <x:v>0</x:v>
      </x:c>
      <x:c r="L222" s="6" t="n">
        <x:v>0</x:v>
      </x:c>
      <x:c r="M222" s="6" t="n">
        <x:v>0</x:v>
      </x:c>
      <x:c r="N222" s="6" t="n">
        <x:v>0</x:v>
      </x:c>
      <x:c r="O222" s="6" t="n">
        <x:v>0</x:v>
      </x:c>
      <x:c r="P222" s="6" t="n">
        <x:v>0</x:v>
      </x:c>
      <x:c r="Q222" s="6" t="str">
        <x:v>top_level</x:v>
      </x:c>
      <x:c r="R222" s="6" t="str">
        <x:v>2026</x:v>
      </x:c>
      <x:c r="S222" s="6" t="str">
        <x:v>Sep_Oct</x:v>
      </x:c>
      <x:c r="T222" s="6" t="d">
        <x:v>2026-10-17T15:58:04.000Z</x:v>
      </x:c>
      <x:c r="U222" s="6" t="str">
        <x:v>RESEARCH_WORKSPACE/ResearchTools/SaSa_Comment_Collection/data/instagram_gap_batch/DBHO7-1CUzs_1792435154639262000.json</x:v>
      </x:c>
      <x:c r="V222" s="6" t="str">
        <x:v>RESEARCH_WORKSPACE/ResearchTools/SaSa_Comment_Collection/data/instagram_gap_batch/DBHO7-1CUzs_1792435154639262000_position_01.png</x:v>
      </x:c>
      <x:c r="W222" s="6" t="str">
        <x:v>praise_or_other</x:v>
      </x:c>
      <x:c r="X222" s="6" t="str">
        <x:v>No explicit purchase intention or self-reported product purchase</x:v>
      </x:c>
      <x:c r="Y222" s="7" t="b">
        <x:v>0</x:v>
      </x:c>
    </x:row>
    <x:row r="223" ht="52" customHeight="1">
      <x:c r="A223" s="6" t="str">
        <x:v>instagram_18042507667931253</x:v>
      </x:c>
      <x:c r="B223" s="6" t="str">
        <x:v>instagram_DBHO7-1CUzs</x:v>
      </x:c>
      <x:c r="C223" s="6" t="str">
        <x:v>Instagram</x:v>
      </x:c>
      <x:c r="D223" s="6" t="str">
        <x:v>excluded</x:v>
      </x:c>
      <x:c r="E223" s="6" t="str">
        <x:v>🖤🖤🖤</x:v>
      </x:c>
      <x:c r="F223" s="6" t="str"/>
      <x:c r="G223" s="6" t="str"/>
      <x:c r="H223" s="6" t="str">
        <x:v>Emoji/tag/punctuation only, music request or personal fan message; excluded from substantive makeup analysis.</x:v>
      </x:c>
      <x:c r="I223" s="6" t="n">
        <x:v>0</x:v>
      </x:c>
      <x:c r="J223" s="6" t="n">
        <x:v>0</x:v>
      </x:c>
      <x:c r="K223" s="6" t="n">
        <x:v>0</x:v>
      </x:c>
      <x:c r="L223" s="6" t="n">
        <x:v>0</x:v>
      </x:c>
      <x:c r="M223" s="6" t="n">
        <x:v>0</x:v>
      </x:c>
      <x:c r="N223" s="6" t="n">
        <x:v>0</x:v>
      </x:c>
      <x:c r="O223" s="6" t="n">
        <x:v>0</x:v>
      </x:c>
      <x:c r="P223" s="6" t="n">
        <x:v>0</x:v>
      </x:c>
      <x:c r="Q223" s="6" t="str">
        <x:v>top_level</x:v>
      </x:c>
      <x:c r="R223" s="6" t="str">
        <x:v>2024</x:v>
      </x:c>
      <x:c r="S223" s="6" t="str">
        <x:v>other_month</x:v>
      </x:c>
      <x:c r="T223" s="6" t="d">
        <x:v>2024-11-03T16:00:39.000Z</x:v>
      </x:c>
      <x:c r="U223" s="6" t="str">
        <x:v>RESEARCH_WORKSPACE/ResearchTools/SaSa_Comment_Collection/data/instagram_gap_batch/DBHO7-1CUzs_1792435154639262000.json</x:v>
      </x:c>
      <x:c r="V223" s="6" t="str">
        <x:v>RESEARCH_WORKSPACE/ResearchTools/SaSa_Comment_Collection/data/instagram_gap_batch/DBHO7-1CUzs_1792435154639262000_position_02.png</x:v>
      </x:c>
      <x:c r="W223" s="6" t="str">
        <x:v>praise_or_other</x:v>
      </x:c>
      <x:c r="X223" s="6" t="str">
        <x:v>No explicit purchase intention or self-reported product purchase</x:v>
      </x:c>
      <x:c r="Y223" s="7" t="b">
        <x:v>0</x:v>
      </x:c>
    </x:row>
    <x:row r="224" ht="52" customHeight="1">
      <x:c r="A224" s="6" t="str">
        <x:v>instagram_17925423890973560</x:v>
      </x:c>
      <x:c r="B224" s="6" t="str">
        <x:v>instagram_DBHO7-1CUzs</x:v>
      </x:c>
      <x:c r="C224" s="6" t="str">
        <x:v>Instagram</x:v>
      </x:c>
      <x:c r="D224" s="6" t="str">
        <x:v>valid</x:v>
      </x:c>
      <x:c r="E224" s="6" t="str">
        <x:v>perfect</x:v>
      </x:c>
      <x:c r="F224" s="6" t="str"/>
      <x:c r="G224" s="6" t="str">
        <x:v>perfect</x:v>
      </x:c>
      <x:c r="H224" s="6" t="str">
        <x:v>Individual text review against saved DOM; screenshots confirm unexpanded top-level presentation. No purchases inferred.</x:v>
      </x:c>
      <x:c r="I224" s="6" t="n">
        <x:v>1</x:v>
      </x:c>
      <x:c r="J224" s="6" t="n">
        <x:v>0</x:v>
      </x:c>
      <x:c r="K224" s="6" t="n">
        <x:v>0</x:v>
      </x:c>
      <x:c r="L224" s="6" t="n">
        <x:v>0</x:v>
      </x:c>
      <x:c r="M224" s="6" t="n">
        <x:v>0</x:v>
      </x:c>
      <x:c r="N224" s="6" t="n">
        <x:v>0</x:v>
      </x:c>
      <x:c r="O224" s="6" t="n">
        <x:v>0</x:v>
      </x:c>
      <x:c r="P224" s="6" t="n">
        <x:v>0</x:v>
      </x:c>
      <x:c r="Q224" s="6" t="str">
        <x:v>top_level</x:v>
      </x:c>
      <x:c r="R224" s="6" t="str">
        <x:v>2024</x:v>
      </x:c>
      <x:c r="S224" s="6" t="str">
        <x:v>other_month</x:v>
      </x:c>
      <x:c r="T224" s="6" t="d">
        <x:v>2024-11-02T15:21:01.000Z</x:v>
      </x:c>
      <x:c r="U224" s="6" t="str">
        <x:v>RESEARCH_WORKSPACE/ResearchTools/SaSa_Comment_Collection/data/instagram_gap_batch/DBHO7-1CUzs_1792435154639262000.json</x:v>
      </x:c>
      <x:c r="V224" s="6" t="str">
        <x:v>RESEARCH_WORKSPACE/ResearchTools/SaSa_Comment_Collection/data/instagram_gap_batch/DBHO7-1CUzs_1792435154639262000_position_03.png</x:v>
      </x:c>
      <x:c r="W224" s="6" t="str">
        <x:v>praise_or_other</x:v>
      </x:c>
      <x:c r="X224" s="6" t="str">
        <x:v>No explicit purchase intention or self-reported product purchase</x:v>
      </x:c>
      <x:c r="Y224" s="7" t="b">
        <x:v>0</x:v>
      </x:c>
    </x:row>
    <x:row r="225" ht="52" customHeight="1">
      <x:c r="A225" s="6" t="str">
        <x:v>instagram_18048949963991031</x:v>
      </x:c>
      <x:c r="B225" s="6" t="str">
        <x:v>instagram_DBHO7-1CUzs</x:v>
      </x:c>
      <x:c r="C225" s="6" t="str">
        <x:v>Instagram</x:v>
      </x:c>
      <x:c r="D225" s="6" t="str">
        <x:v>valid</x:v>
      </x:c>
      <x:c r="E225" s="6" t="str">
        <x:v>È passato da 2 giorniiiiiii</x:v>
      </x:c>
      <x:c r="F225" s="6" t="str">
        <x:v>It was two days ago (seasonal timing comment; referent inferred from Halloween context).</x:v>
      </x:c>
      <x:c r="G225" s="6" t="str">
        <x:v>È passato da 2 giorniiiiiii</x:v>
      </x:c>
      <x:c r="H225" s="6" t="str">
        <x:v>Individual text review against saved DOM; screenshots confirm unexpanded top-level presentation. No purchases inferred.</x:v>
      </x:c>
      <x:c r="I225" s="6" t="n">
        <x:v>0</x:v>
      </x:c>
      <x:c r="J225" s="6" t="n">
        <x:v>0</x:v>
      </x:c>
      <x:c r="K225" s="6" t="n">
        <x:v>0</x:v>
      </x:c>
      <x:c r="L225" s="6" t="n">
        <x:v>0</x:v>
      </x:c>
      <x:c r="M225" s="6" t="n">
        <x:v>0</x:v>
      </x:c>
      <x:c r="N225" s="6" t="n">
        <x:v>0</x:v>
      </x:c>
      <x:c r="O225" s="6" t="n">
        <x:v>0</x:v>
      </x:c>
      <x:c r="P225" s="6" t="n">
        <x:v>1</x:v>
      </x:c>
      <x:c r="Q225" s="6" t="str">
        <x:v>top_level</x:v>
      </x:c>
      <x:c r="R225" s="6" t="str">
        <x:v>2024</x:v>
      </x:c>
      <x:c r="S225" s="6" t="str">
        <x:v>other_month</x:v>
      </x:c>
      <x:c r="T225" s="6" t="d">
        <x:v>2024-11-02T11:40:09.000Z</x:v>
      </x:c>
      <x:c r="U225" s="6" t="str">
        <x:v>RESEARCH_WORKSPACE/ResearchTools/SaSa_Comment_Collection/data/instagram_gap_batch/DBHO7-1CUzs_1792435154639262000.json</x:v>
      </x:c>
      <x:c r="V225" s="6" t="str">
        <x:v>RESEARCH_WORKSPACE/ResearchTools/SaSa_Comment_Collection/data/instagram_gap_batch/DBHO7-1CUzs_1792435154639262000_position_04.png</x:v>
      </x:c>
      <x:c r="W225" s="6" t="str">
        <x:v>praise_or_other</x:v>
      </x:c>
      <x:c r="X225" s="6" t="str">
        <x:v>No explicit purchase intention or self-reported product purchase</x:v>
      </x:c>
      <x:c r="Y225" s="7" t="b">
        <x:v>0</x:v>
      </x:c>
    </x:row>
    <x:row r="226" ht="52" customHeight="1">
      <x:c r="A226" s="6" t="str">
        <x:v>instagram_18030561806122093</x:v>
      </x:c>
      <x:c r="B226" s="6" t="str">
        <x:v>instagram_DBHO7-1CUzs</x:v>
      </x:c>
      <x:c r="C226" s="6" t="str">
        <x:v>Instagram</x:v>
      </x:c>
      <x:c r="D226" s="6" t="str">
        <x:v>valid</x:v>
      </x:c>
      <x:c r="E226" s="6" t="str">
        <x:v>😍😍😍beautiful 👏</x:v>
      </x:c>
      <x:c r="F226" s="6" t="str"/>
      <x:c r="G226" s="6" t="str">
        <x:v>😍😍😍beautiful 👏</x:v>
      </x:c>
      <x:c r="H226" s="6" t="str">
        <x:v>Individual text review against saved DOM; screenshots confirm unexpanded top-level presentation. No purchases inferred.</x:v>
      </x:c>
      <x:c r="I226" s="6" t="n">
        <x:v>1</x:v>
      </x:c>
      <x:c r="J226" s="6" t="n">
        <x:v>0</x:v>
      </x:c>
      <x:c r="K226" s="6" t="n">
        <x:v>0</x:v>
      </x:c>
      <x:c r="L226" s="6" t="n">
        <x:v>0</x:v>
      </x:c>
      <x:c r="M226" s="6" t="n">
        <x:v>0</x:v>
      </x:c>
      <x:c r="N226" s="6" t="n">
        <x:v>0</x:v>
      </x:c>
      <x:c r="O226" s="6" t="n">
        <x:v>0</x:v>
      </x:c>
      <x:c r="P226" s="6" t="n">
        <x:v>0</x:v>
      </x:c>
      <x:c r="Q226" s="6" t="str">
        <x:v>top_level</x:v>
      </x:c>
      <x:c r="R226" s="6" t="str">
        <x:v>2024</x:v>
      </x:c>
      <x:c r="S226" s="6" t="str">
        <x:v>Sep_Oct</x:v>
      </x:c>
      <x:c r="T226" s="6" t="d">
        <x:v>2024-10-30T17:24:05.000Z</x:v>
      </x:c>
      <x:c r="U226" s="6" t="str">
        <x:v>RESEARCH_WORKSPACE/ResearchTools/SaSa_Comment_Collection/data/instagram_gap_batch/DBHO7-1CUzs_1792435154639262000.json</x:v>
      </x:c>
      <x:c r="V226" s="6" t="str">
        <x:v>RESEARCH_WORKSPACE/ResearchTools/SaSa_Comment_Collection/data/instagram_gap_batch/DBHO7-1CUzs_1792435154639262000_position_05.png</x:v>
      </x:c>
      <x:c r="W226" s="6" t="str">
        <x:v>praise_or_other</x:v>
      </x:c>
      <x:c r="X226" s="6" t="str">
        <x:v>No explicit purchase intention or self-reported product purchase</x:v>
      </x:c>
      <x:c r="Y226" s="7" t="b">
        <x:v>0</x:v>
      </x:c>
    </x:row>
    <x:row r="227" ht="52" customHeight="1">
      <x:c r="A227" s="6" t="str">
        <x:v>instagram_17945772437888498</x:v>
      </x:c>
      <x:c r="B227" s="6" t="str">
        <x:v>instagram_DBHO7-1CUzs</x:v>
      </x:c>
      <x:c r="C227" s="6" t="str">
        <x:v>Instagram</x:v>
      </x:c>
      <x:c r="D227" s="6" t="str">
        <x:v>valid</x:v>
      </x:c>
      <x:c r="E227" s="6" t="str">
        <x:v>Can anybody Tell me what i need for this beutiful make up?</x:v>
      </x:c>
      <x:c r="F227" s="6" t="str"/>
      <x:c r="G227" s="6" t="str">
        <x:v>Can anybody Tell me what i need for this beutiful make up?</x:v>
      </x:c>
      <x:c r="H227" s="6" t="str">
        <x:v>Individual text review against saved DOM; screenshots confirm unexpanded top-level presentation. No purchases inferred.</x:v>
      </x:c>
      <x:c r="I227" s="6" t="n">
        <x:v>1</x:v>
      </x:c>
      <x:c r="J227" s="6" t="n">
        <x:v>0</x:v>
      </x:c>
      <x:c r="K227" s="6" t="n">
        <x:v>1</x:v>
      </x:c>
      <x:c r="L227" s="6" t="n">
        <x:v>0</x:v>
      </x:c>
      <x:c r="M227" s="6" t="n">
        <x:v>0</x:v>
      </x:c>
      <x:c r="N227" s="6" t="n">
        <x:v>0</x:v>
      </x:c>
      <x:c r="O227" s="6" t="n">
        <x:v>0</x:v>
      </x:c>
      <x:c r="P227" s="6" t="n">
        <x:v>0</x:v>
      </x:c>
      <x:c r="Q227" s="6" t="str">
        <x:v>top_level</x:v>
      </x:c>
      <x:c r="R227" s="6" t="str">
        <x:v>2024</x:v>
      </x:c>
      <x:c r="S227" s="6" t="str">
        <x:v>Sep_Oct</x:v>
      </x:c>
      <x:c r="T227" s="6" t="d">
        <x:v>2024-10-30T15:43:12.000Z</x:v>
      </x:c>
      <x:c r="U227" s="6" t="str">
        <x:v>RESEARCH_WORKSPACE/ResearchTools/SaSa_Comment_Collection/data/instagram_gap_batch/DBHO7-1CUzs_1792435154639262000.json</x:v>
      </x:c>
      <x:c r="V227" s="6" t="str">
        <x:v>RESEARCH_WORKSPACE/ResearchTools/SaSa_Comment_Collection/data/instagram_gap_batch/DBHO7-1CUzs_1792435154639262000_position_06.png</x:v>
      </x:c>
      <x:c r="W227" s="6" t="str">
        <x:v>information_request</x:v>
      </x:c>
      <x:c r="X227" s="6" t="str">
        <x:v>No explicit purchase intention or self-reported product purchase</x:v>
      </x:c>
      <x:c r="Y227" s="7" t="b">
        <x:v>0</x:v>
      </x:c>
    </x:row>
    <x:row r="228" ht="52" customHeight="1">
      <x:c r="A228" s="6" t="str">
        <x:v>instagram_18042343168928129</x:v>
      </x:c>
      <x:c r="B228" s="6" t="str">
        <x:v>instagram_DBHO7-1CUzs</x:v>
      </x:c>
      <x:c r="C228" s="6" t="str">
        <x:v>Instagram</x:v>
      </x:c>
      <x:c r="D228" s="6" t="str">
        <x:v>valid</x:v>
      </x:c>
      <x:c r="E228" s="6" t="str">
        <x:v>O que usou para fluir líquido preto?</x:v>
      </x:c>
      <x:c r="F228" s="6" t="str">
        <x:v>What did you use to make the black liquid flow?</x:v>
      </x:c>
      <x:c r="G228" s="6" t="str">
        <x:v>O que usou para fluir líquido preto?</x:v>
      </x:c>
      <x:c r="H228" s="6" t="str">
        <x:v>Individual text review against saved DOM; screenshots confirm unexpanded top-level presentation. No purchases inferred.</x:v>
      </x:c>
      <x:c r="I228" s="6" t="n">
        <x:v>0</x:v>
      </x:c>
      <x:c r="J228" s="6" t="n">
        <x:v>1</x:v>
      </x:c>
      <x:c r="K228" s="6" t="n">
        <x:v>1</x:v>
      </x:c>
      <x:c r="L228" s="6" t="n">
        <x:v>0</x:v>
      </x:c>
      <x:c r="M228" s="6" t="n">
        <x:v>0</x:v>
      </x:c>
      <x:c r="N228" s="6" t="n">
        <x:v>0</x:v>
      </x:c>
      <x:c r="O228" s="6" t="n">
        <x:v>0</x:v>
      </x:c>
      <x:c r="P228" s="6" t="n">
        <x:v>0</x:v>
      </x:c>
      <x:c r="Q228" s="6" t="str">
        <x:v>top_level</x:v>
      </x:c>
      <x:c r="R228" s="6" t="str">
        <x:v>2024</x:v>
      </x:c>
      <x:c r="S228" s="6" t="str">
        <x:v>Sep_Oct</x:v>
      </x:c>
      <x:c r="T228" s="6" t="d">
        <x:v>2024-10-29T22:15:53.000Z</x:v>
      </x:c>
      <x:c r="U228" s="6" t="str">
        <x:v>RESEARCH_WORKSPACE/ResearchTools/SaSa_Comment_Collection/data/instagram_gap_batch/DBHO7-1CUzs_1792435154639262000.json</x:v>
      </x:c>
      <x:c r="V228" s="6" t="str">
        <x:v>RESEARCH_WORKSPACE/ResearchTools/SaSa_Comment_Collection/data/instagram_gap_batch/DBHO7-1CUzs_1792435154639262000_position_07.png</x:v>
      </x:c>
      <x:c r="W228" s="6" t="str">
        <x:v>information_request</x:v>
      </x:c>
      <x:c r="X228" s="6" t="str">
        <x:v>No explicit purchase intention or self-reported product purchase</x:v>
      </x:c>
      <x:c r="Y228" s="7" t="b">
        <x:v>0</x:v>
      </x:c>
    </x:row>
    <x:row r="229" ht="52" customHeight="1">
      <x:c r="A229" s="6" t="str">
        <x:v>instagram_18015153551634202</x:v>
      </x:c>
      <x:c r="B229" s="6" t="str">
        <x:v>instagram_DBHO7-1CUzs</x:v>
      </x:c>
      <x:c r="C229" s="6" t="str">
        <x:v>Instagram</x:v>
      </x:c>
      <x:c r="D229" s="6" t="str">
        <x:v>valid</x:v>
      </x:c>
      <x:c r="E229" s="6" t="str">
        <x:v>Para quem tem olheiras como eu é perfeita a make ❤️😂</x:v>
      </x:c>
      <x:c r="F229" s="6" t="str">
        <x:v>For someone with dark circles like me, this makeup is perfect.</x:v>
      </x:c>
      <x:c r="G229" s="6" t="str">
        <x:v>Para quem tem olheiras como eu é perfeita a make ❤️😂</x:v>
      </x:c>
      <x:c r="H229" s="6" t="str">
        <x:v>Individual text review against saved DOM; screenshots confirm unexpanded top-level presentation. No purchases inferred.</x:v>
      </x:c>
      <x:c r="I229" s="6" t="n">
        <x:v>1</x:v>
      </x:c>
      <x:c r="J229" s="6" t="n">
        <x:v>0</x:v>
      </x:c>
      <x:c r="K229" s="6" t="n">
        <x:v>0</x:v>
      </x:c>
      <x:c r="L229" s="6" t="n">
        <x:v>0</x:v>
      </x:c>
      <x:c r="M229" s="6" t="n">
        <x:v>0</x:v>
      </x:c>
      <x:c r="N229" s="6" t="n">
        <x:v>0</x:v>
      </x:c>
      <x:c r="O229" s="6" t="n">
        <x:v>0</x:v>
      </x:c>
      <x:c r="P229" s="6" t="n">
        <x:v>0</x:v>
      </x:c>
      <x:c r="Q229" s="6" t="str">
        <x:v>top_level</x:v>
      </x:c>
      <x:c r="R229" s="6" t="str">
        <x:v>2024</x:v>
      </x:c>
      <x:c r="S229" s="6" t="str">
        <x:v>Sep_Oct</x:v>
      </x:c>
      <x:c r="T229" s="6" t="d">
        <x:v>2024-10-29T17:42:22.000Z</x:v>
      </x:c>
      <x:c r="U229" s="6" t="str">
        <x:v>RESEARCH_WORKSPACE/ResearchTools/SaSa_Comment_Collection/data/instagram_gap_batch/DBHO7-1CUzs_1792435154639262000.json</x:v>
      </x:c>
      <x:c r="V229" s="6" t="str">
        <x:v>RESEARCH_WORKSPACE/ResearchTools/SaSa_Comment_Collection/data/instagram_gap_batch/DBHO7-1CUzs_1792435154639262000_position_08.png</x:v>
      </x:c>
      <x:c r="W229" s="6" t="str">
        <x:v>praise_or_other</x:v>
      </x:c>
      <x:c r="X229" s="6" t="str">
        <x:v>No explicit purchase intention or self-reported product purchase</x:v>
      </x:c>
      <x:c r="Y229" s="7" t="b">
        <x:v>0</x:v>
      </x:c>
    </x:row>
    <x:row r="230" ht="52" customHeight="1">
      <x:c r="A230" s="6" t="str">
        <x:v>instagram_18039535139177694</x:v>
      </x:c>
      <x:c r="B230" s="6" t="str">
        <x:v>instagram_DBHO7-1CUzs</x:v>
      </x:c>
      <x:c r="C230" s="6" t="str">
        <x:v>Instagram</x:v>
      </x:c>
      <x:c r="D230" s="6" t="str">
        <x:v>valid</x:v>
      </x:c>
      <x:c r="E230" s="6" t="str">
        <x:v>Is this an eyeliner? How to apply it like this?</x:v>
      </x:c>
      <x:c r="F230" s="6" t="str"/>
      <x:c r="G230" s="6" t="str">
        <x:v>Is this an eyeliner? How to apply it like this?</x:v>
      </x:c>
      <x:c r="H230" s="6" t="str">
        <x:v>Individual text review against saved DOM; screenshots confirm unexpanded top-level presentation. No purchases inferred.</x:v>
      </x:c>
      <x:c r="I230" s="6" t="n">
        <x:v>0</x:v>
      </x:c>
      <x:c r="J230" s="6" t="n">
        <x:v>1</x:v>
      </x:c>
      <x:c r="K230" s="6" t="n">
        <x:v>1</x:v>
      </x:c>
      <x:c r="L230" s="6" t="n">
        <x:v>0</x:v>
      </x:c>
      <x:c r="M230" s="6" t="n">
        <x:v>0</x:v>
      </x:c>
      <x:c r="N230" s="6" t="n">
        <x:v>0</x:v>
      </x:c>
      <x:c r="O230" s="6" t="n">
        <x:v>0</x:v>
      </x:c>
      <x:c r="P230" s="6" t="n">
        <x:v>0</x:v>
      </x:c>
      <x:c r="Q230" s="6" t="str">
        <x:v>top_level</x:v>
      </x:c>
      <x:c r="R230" s="6" t="str">
        <x:v>2024</x:v>
      </x:c>
      <x:c r="S230" s="6" t="str">
        <x:v>Sep_Oct</x:v>
      </x:c>
      <x:c r="T230" s="6" t="d">
        <x:v>2024-10-28T13:45:11.000Z</x:v>
      </x:c>
      <x:c r="U230" s="6" t="str">
        <x:v>RESEARCH_WORKSPACE/ResearchTools/SaSa_Comment_Collection/data/instagram_gap_batch/DBHO7-1CUzs_1792435154639262000.json</x:v>
      </x:c>
      <x:c r="V230" s="6" t="str">
        <x:v>RESEARCH_WORKSPACE/ResearchTools/SaSa_Comment_Collection/data/instagram_gap_batch/DBHO7-1CUzs_1792435154639262000_position_09.png</x:v>
      </x:c>
      <x:c r="W230" s="6" t="str">
        <x:v>information_request</x:v>
      </x:c>
      <x:c r="X230" s="6" t="str">
        <x:v>No explicit purchase intention or self-reported product purchase</x:v>
      </x:c>
      <x:c r="Y230" s="7" t="b">
        <x:v>0</x:v>
      </x:c>
    </x:row>
    <x:row r="231" ht="52" customHeight="1">
      <x:c r="A231" s="6" t="str">
        <x:v>instagram_17932455587978305</x:v>
      </x:c>
      <x:c r="B231" s="6" t="str">
        <x:v>instagram_DBHO7-1CUzs</x:v>
      </x:c>
      <x:c r="C231" s="6" t="str">
        <x:v>Instagram</x:v>
      </x:c>
      <x:c r="D231" s="6" t="str">
        <x:v>valid</x:v>
      </x:c>
      <x:c r="E231" s="6" t="str">
        <x:v>The glitter on the lip? What do you use?</x:v>
      </x:c>
      <x:c r="F231" s="6" t="str"/>
      <x:c r="G231" s="6" t="str">
        <x:v>The glitter on the lip? What do you use?</x:v>
      </x:c>
      <x:c r="H231" s="6" t="str">
        <x:v>Individual text review against saved DOM; screenshots confirm unexpanded top-level presentation. No purchases inferred.</x:v>
      </x:c>
      <x:c r="I231" s="6" t="n">
        <x:v>0</x:v>
      </x:c>
      <x:c r="J231" s="6" t="n">
        <x:v>0</x:v>
      </x:c>
      <x:c r="K231" s="6" t="n">
        <x:v>1</x:v>
      </x:c>
      <x:c r="L231" s="6" t="n">
        <x:v>0</x:v>
      </x:c>
      <x:c r="M231" s="6" t="n">
        <x:v>0</x:v>
      </x:c>
      <x:c r="N231" s="6" t="n">
        <x:v>0</x:v>
      </x:c>
      <x:c r="O231" s="6" t="n">
        <x:v>0</x:v>
      </x:c>
      <x:c r="P231" s="6" t="n">
        <x:v>0</x:v>
      </x:c>
      <x:c r="Q231" s="6" t="str">
        <x:v>top_level</x:v>
      </x:c>
      <x:c r="R231" s="6" t="str">
        <x:v>2024</x:v>
      </x:c>
      <x:c r="S231" s="6" t="str">
        <x:v>Sep_Oct</x:v>
      </x:c>
      <x:c r="T231" s="6" t="d">
        <x:v>2024-10-27T19:19:47.000Z</x:v>
      </x:c>
      <x:c r="U231" s="6" t="str">
        <x:v>RESEARCH_WORKSPACE/ResearchTools/SaSa_Comment_Collection/data/instagram_gap_batch/DBHO7-1CUzs_1792435154639262000.json</x:v>
      </x:c>
      <x:c r="V231" s="6" t="str">
        <x:v>RESEARCH_WORKSPACE/ResearchTools/SaSa_Comment_Collection/data/instagram_gap_batch/DBHO7-1CUzs_1792435154639262000_position_10.png</x:v>
      </x:c>
      <x:c r="W231" s="6" t="str">
        <x:v>information_request</x:v>
      </x:c>
      <x:c r="X231" s="6" t="str">
        <x:v>No explicit purchase intention or self-reported product purchase</x:v>
      </x:c>
      <x:c r="Y231" s="7" t="b">
        <x:v>0</x:v>
      </x:c>
    </x:row>
    <x:row r="232" ht="52" customHeight="1">
      <x:c r="A232" s="6" t="str">
        <x:v>instagram_17991277346569308</x:v>
      </x:c>
      <x:c r="B232" s="6" t="str">
        <x:v>instagram_DBHO7-1CUzs</x:v>
      </x:c>
      <x:c r="C232" s="6" t="str">
        <x:v>Instagram</x:v>
      </x:c>
      <x:c r="D232" s="6" t="str">
        <x:v>valid</x:v>
      </x:c>
      <x:c r="E232" s="6" t="str">
        <x:v>How do you do the dripping effect? Like what are you using. Probably could do this since I’m a sad bitch most days.</x:v>
      </x:c>
      <x:c r="F232" s="6" t="str"/>
      <x:c r="G232" s="6" t="str">
        <x:v>How do you do the dripping effect? Like what are you using. Probably could do this since I’m a sad bitch most days.</x:v>
      </x:c>
      <x:c r="H232" s="6" t="str">
        <x:v>Individual text review against saved DOM; screenshots confirm unexpanded top-level presentation. No purchases inferred.</x:v>
      </x:c>
      <x:c r="I232" s="6" t="n">
        <x:v>0</x:v>
      </x:c>
      <x:c r="J232" s="6" t="n">
        <x:v>1</x:v>
      </x:c>
      <x:c r="K232" s="6" t="n">
        <x:v>1</x:v>
      </x:c>
      <x:c r="L232" s="6" t="n">
        <x:v>0</x:v>
      </x:c>
      <x:c r="M232" s="6" t="n">
        <x:v>0</x:v>
      </x:c>
      <x:c r="N232" s="6" t="n">
        <x:v>0</x:v>
      </x:c>
      <x:c r="O232" s="6" t="n">
        <x:v>0</x:v>
      </x:c>
      <x:c r="P232" s="6" t="n">
        <x:v>0</x:v>
      </x:c>
      <x:c r="Q232" s="6" t="str">
        <x:v>top_level</x:v>
      </x:c>
      <x:c r="R232" s="6" t="str">
        <x:v>2024</x:v>
      </x:c>
      <x:c r="S232" s="6" t="str">
        <x:v>Sep_Oct</x:v>
      </x:c>
      <x:c r="T232" s="6" t="d">
        <x:v>2024-10-27T18:24:59.000Z</x:v>
      </x:c>
      <x:c r="U232" s="6" t="str">
        <x:v>RESEARCH_WORKSPACE/ResearchTools/SaSa_Comment_Collection/data/instagram_gap_batch/DBHO7-1CUzs_1792435154639262000.json</x:v>
      </x:c>
      <x:c r="V232" s="6" t="str">
        <x:v>RESEARCH_WORKSPACE/ResearchTools/SaSa_Comment_Collection/data/instagram_gap_batch/DBHO7-1CUzs_1792435154639262000_position_11.png</x:v>
      </x:c>
      <x:c r="W232" s="6" t="str">
        <x:v>information_request</x:v>
      </x:c>
      <x:c r="X232" s="6" t="str">
        <x:v>No explicit purchase intention or self-reported product purchase</x:v>
      </x:c>
      <x:c r="Y232" s="7" t="b">
        <x:v>0</x:v>
      </x:c>
    </x:row>
    <x:row r="233" ht="52" customHeight="1">
      <x:c r="A233" s="6" t="str">
        <x:v>instagram_18060435187776402</x:v>
      </x:c>
      <x:c r="B233" s="6" t="str">
        <x:v>instagram_DBHO7-1CUzs</x:v>
      </x:c>
      <x:c r="C233" s="6" t="str">
        <x:v>Instagram</x:v>
      </x:c>
      <x:c r="D233" s="6" t="str">
        <x:v>valid</x:v>
      </x:c>
      <x:c r="E233" s="6" t="str">
        <x:v>What did you use for the tears? Mascara?</x:v>
      </x:c>
      <x:c r="F233" s="6" t="str"/>
      <x:c r="G233" s="6" t="str">
        <x:v>What did you use for the tears? Mascara?</x:v>
      </x:c>
      <x:c r="H233" s="6" t="str">
        <x:v>Individual text review against saved DOM; screenshots confirm unexpanded top-level presentation. No purchases inferred.</x:v>
      </x:c>
      <x:c r="I233" s="6" t="n">
        <x:v>0</x:v>
      </x:c>
      <x:c r="J233" s="6" t="n">
        <x:v>0</x:v>
      </x:c>
      <x:c r="K233" s="6" t="n">
        <x:v>1</x:v>
      </x:c>
      <x:c r="L233" s="6" t="n">
        <x:v>0</x:v>
      </x:c>
      <x:c r="M233" s="6" t="n">
        <x:v>0</x:v>
      </x:c>
      <x:c r="N233" s="6" t="n">
        <x:v>0</x:v>
      </x:c>
      <x:c r="O233" s="6" t="n">
        <x:v>0</x:v>
      </x:c>
      <x:c r="P233" s="6" t="n">
        <x:v>0</x:v>
      </x:c>
      <x:c r="Q233" s="6" t="str">
        <x:v>top_level</x:v>
      </x:c>
      <x:c r="R233" s="6" t="str">
        <x:v>2024</x:v>
      </x:c>
      <x:c r="S233" s="6" t="str">
        <x:v>Sep_Oct</x:v>
      </x:c>
      <x:c r="T233" s="6" t="d">
        <x:v>2024-10-27T14:18:47.000Z</x:v>
      </x:c>
      <x:c r="U233" s="6" t="str">
        <x:v>RESEARCH_WORKSPACE/ResearchTools/SaSa_Comment_Collection/data/instagram_gap_batch/DBHO7-1CUzs_1792435154639262000.json</x:v>
      </x:c>
      <x:c r="V233" s="6" t="str">
        <x:v>RESEARCH_WORKSPACE/ResearchTools/SaSa_Comment_Collection/data/instagram_gap_batch/DBHO7-1CUzs_1792435154639262000_position_12.png</x:v>
      </x:c>
      <x:c r="W233" s="6" t="str">
        <x:v>information_request</x:v>
      </x:c>
      <x:c r="X233" s="6" t="str">
        <x:v>No explicit purchase intention or self-reported product purchase</x:v>
      </x:c>
      <x:c r="Y233" s="7" t="b">
        <x:v>0</x:v>
      </x:c>
    </x:row>
    <x:row r="234" ht="52" customHeight="1">
      <x:c r="A234" s="6" t="str">
        <x:v>instagram_18036900050020490</x:v>
      </x:c>
      <x:c r="B234" s="6" t="str">
        <x:v>instagram_DBHO7-1CUzs</x:v>
      </x:c>
      <x:c r="C234" s="6" t="str">
        <x:v>Instagram</x:v>
      </x:c>
      <x:c r="D234" s="6" t="str">
        <x:v>valid</x:v>
      </x:c>
      <x:c r="E234" s="6" t="str">
        <x:v>So freaking cool</x:v>
      </x:c>
      <x:c r="F234" s="6" t="str"/>
      <x:c r="G234" s="6" t="str">
        <x:v>So freaking cool</x:v>
      </x:c>
      <x:c r="H234" s="6" t="str">
        <x:v>Individual text review against saved DOM; screenshots confirm unexpanded top-level presentation. No purchases inferred.</x:v>
      </x:c>
      <x:c r="I234" s="6" t="n">
        <x:v>1</x:v>
      </x:c>
      <x:c r="J234" s="6" t="n">
        <x:v>0</x:v>
      </x:c>
      <x:c r="K234" s="6" t="n">
        <x:v>0</x:v>
      </x:c>
      <x:c r="L234" s="6" t="n">
        <x:v>0</x:v>
      </x:c>
      <x:c r="M234" s="6" t="n">
        <x:v>0</x:v>
      </x:c>
      <x:c r="N234" s="6" t="n">
        <x:v>0</x:v>
      </x:c>
      <x:c r="O234" s="6" t="n">
        <x:v>0</x:v>
      </x:c>
      <x:c r="P234" s="6" t="n">
        <x:v>0</x:v>
      </x:c>
      <x:c r="Q234" s="6" t="str">
        <x:v>top_level</x:v>
      </x:c>
      <x:c r="R234" s="6" t="str">
        <x:v>2024</x:v>
      </x:c>
      <x:c r="S234" s="6" t="str">
        <x:v>Sep_Oct</x:v>
      </x:c>
      <x:c r="T234" s="6" t="d">
        <x:v>2024-10-27T02:33:42.000Z</x:v>
      </x:c>
      <x:c r="U234" s="6" t="str">
        <x:v>RESEARCH_WORKSPACE/ResearchTools/SaSa_Comment_Collection/data/instagram_gap_batch/DBHO7-1CUzs_1792435154639262000.json</x:v>
      </x:c>
      <x:c r="V234" s="6" t="str">
        <x:v>RESEARCH_WORKSPACE/ResearchTools/SaSa_Comment_Collection/data/instagram_gap_batch/DBHO7-1CUzs_1792435154639262000_position_13.png</x:v>
      </x:c>
      <x:c r="W234" s="6" t="str">
        <x:v>praise_or_other</x:v>
      </x:c>
      <x:c r="X234" s="6" t="str">
        <x:v>No explicit purchase intention or self-reported product purchase</x:v>
      </x:c>
      <x:c r="Y234" s="7" t="b">
        <x:v>0</x:v>
      </x:c>
    </x:row>
    <x:row r="235" ht="52" customHeight="1">
      <x:c r="A235" s="6" t="str">
        <x:v>instagram_17969274785797663</x:v>
      </x:c>
      <x:c r="B235" s="6" t="str">
        <x:v>instagram_DBHO7-1CUzs</x:v>
      </x:c>
      <x:c r="C235" s="6" t="str">
        <x:v>Instagram</x:v>
      </x:c>
      <x:c r="D235" s="6" t="str">
        <x:v>excluded</x:v>
      </x:c>
      <x:c r="E235" s="6" t="str">
        <x:v>@[anonymised]</x:v>
      </x:c>
      <x:c r="F235" s="6" t="str"/>
      <x:c r="G235" s="6" t="str"/>
      <x:c r="H235" s="6" t="str">
        <x:v>Emoji/tag/punctuation only, music request or personal fan message; excluded from substantive makeup analysis.</x:v>
      </x:c>
      <x:c r="I235" s="6" t="n">
        <x:v>0</x:v>
      </x:c>
      <x:c r="J235" s="6" t="n">
        <x:v>0</x:v>
      </x:c>
      <x:c r="K235" s="6" t="n">
        <x:v>0</x:v>
      </x:c>
      <x:c r="L235" s="6" t="n">
        <x:v>0</x:v>
      </x:c>
      <x:c r="M235" s="6" t="n">
        <x:v>0</x:v>
      </x:c>
      <x:c r="N235" s="6" t="n">
        <x:v>0</x:v>
      </x:c>
      <x:c r="O235" s="6" t="n">
        <x:v>0</x:v>
      </x:c>
      <x:c r="P235" s="6" t="n">
        <x:v>0</x:v>
      </x:c>
      <x:c r="Q235" s="6" t="str">
        <x:v>top_level</x:v>
      </x:c>
      <x:c r="R235" s="6" t="str">
        <x:v>2024</x:v>
      </x:c>
      <x:c r="S235" s="6" t="str">
        <x:v>Sep_Oct</x:v>
      </x:c>
      <x:c r="T235" s="6" t="d">
        <x:v>2024-10-26T17:49:37.000Z</x:v>
      </x:c>
      <x:c r="U235" s="6" t="str">
        <x:v>RESEARCH_WORKSPACE/ResearchTools/SaSa_Comment_Collection/data/instagram_gap_batch/DBHO7-1CUzs_1792435154639262000.json</x:v>
      </x:c>
      <x:c r="V235" s="6" t="str">
        <x:v>RESEARCH_WORKSPACE/ResearchTools/SaSa_Comment_Collection/data/instagram_gap_batch/DBHO7-1CUzs_1792435154639262000_position_14.png</x:v>
      </x:c>
      <x:c r="W235" s="6" t="str">
        <x:v>praise_or_other</x:v>
      </x:c>
      <x:c r="X235" s="6" t="str">
        <x:v>No explicit purchase intention or self-reported product purchase</x:v>
      </x:c>
      <x:c r="Y235" s="7" t="b">
        <x:v>0</x:v>
      </x:c>
    </x:row>
    <x:row r="236" ht="52" customHeight="1">
      <x:c r="A236" s="6" t="str">
        <x:v>instagram_18534805738012293</x:v>
      </x:c>
      <x:c r="B236" s="6" t="str">
        <x:v>instagram_DBePt0ntGVD</x:v>
      </x:c>
      <x:c r="C236" s="6" t="str">
        <x:v>Instagram</x:v>
      </x:c>
      <x:c r="D236" s="6" t="str">
        <x:v>excluded</x:v>
      </x:c>
      <x:c r="E236" s="6" t="str">
        <x:v>@[anonymised] @[anonymised]</x:v>
      </x:c>
      <x:c r="F236" s="6" t="str"/>
      <x:c r="G236" s="6" t="str"/>
      <x:c r="H236" s="6" t="str">
        <x:v>Emoji/tag/punctuation only, music request or personal fan message; excluded from substantive makeup analysis.</x:v>
      </x:c>
      <x:c r="I236" s="6" t="n">
        <x:v>0</x:v>
      </x:c>
      <x:c r="J236" s="6" t="n">
        <x:v>0</x:v>
      </x:c>
      <x:c r="K236" s="6" t="n">
        <x:v>0</x:v>
      </x:c>
      <x:c r="L236" s="6" t="n">
        <x:v>0</x:v>
      </x:c>
      <x:c r="M236" s="6" t="n">
        <x:v>0</x:v>
      </x:c>
      <x:c r="N236" s="6" t="n">
        <x:v>0</x:v>
      </x:c>
      <x:c r="O236" s="6" t="n">
        <x:v>0</x:v>
      </x:c>
      <x:c r="P236" s="6" t="n">
        <x:v>0</x:v>
      </x:c>
      <x:c r="Q236" s="6" t="str">
        <x:v>top_level</x:v>
      </x:c>
      <x:c r="R236" s="6" t="str">
        <x:v>2025</x:v>
      </x:c>
      <x:c r="S236" s="6" t="str">
        <x:v>Sep_Oct</x:v>
      </x:c>
      <x:c r="T236" s="6" t="d">
        <x:v>2025-10-29T20:31:49.000Z</x:v>
      </x:c>
      <x:c r="U236" s="6" t="str">
        <x:v>RESEARCH_WORKSPACE/ResearchTools/SaSa_Comment_Collection/data/instagram_gap_batch/DBePt0ntGVD_1792435089749991000.json</x:v>
      </x:c>
      <x:c r="V236" s="6" t="str">
        <x:v>RESEARCH_WORKSPACE/ResearchTools/SaSa_Comment_Collection/data/instagram_gap_batch/DBePt0ntGVD_1792435089749991000_position_01.png</x:v>
      </x:c>
      <x:c r="W236" s="6" t="str">
        <x:v>praise_or_other</x:v>
      </x:c>
      <x:c r="X236" s="6" t="str">
        <x:v>No explicit purchase intention or self-reported product purchase</x:v>
      </x:c>
      <x:c r="Y236" s="7" t="b">
        <x:v>0</x:v>
      </x:c>
    </x:row>
    <x:row r="237" ht="52" customHeight="1">
      <x:c r="A237" s="6" t="str">
        <x:v>instagram_18027557951539044</x:v>
      </x:c>
      <x:c r="B237" s="6" t="str">
        <x:v>instagram_DBePt0ntGVD</x:v>
      </x:c>
      <x:c r="C237" s="6" t="str">
        <x:v>Instagram</x:v>
      </x:c>
      <x:c r="D237" s="6" t="str">
        <x:v>valid</x:v>
      </x:c>
      <x:c r="E237" s="6" t="str">
        <x:v>So cool</x:v>
      </x:c>
      <x:c r="F237" s="6" t="str"/>
      <x:c r="G237" s="6" t="str">
        <x:v>So cool</x:v>
      </x:c>
      <x:c r="H237" s="6" t="str">
        <x:v>Individual text review against saved DOM; screenshots confirm unexpanded top-level presentation. No purchases inferred.</x:v>
      </x:c>
      <x:c r="I237" s="6" t="n">
        <x:v>1</x:v>
      </x:c>
      <x:c r="J237" s="6" t="n">
        <x:v>0</x:v>
      </x:c>
      <x:c r="K237" s="6" t="n">
        <x:v>0</x:v>
      </x:c>
      <x:c r="L237" s="6" t="n">
        <x:v>0</x:v>
      </x:c>
      <x:c r="M237" s="6" t="n">
        <x:v>0</x:v>
      </x:c>
      <x:c r="N237" s="6" t="n">
        <x:v>0</x:v>
      </x:c>
      <x:c r="O237" s="6" t="n">
        <x:v>0</x:v>
      </x:c>
      <x:c r="P237" s="6" t="n">
        <x:v>0</x:v>
      </x:c>
      <x:c r="Q237" s="6" t="str">
        <x:v>top_level</x:v>
      </x:c>
      <x:c r="R237" s="6" t="str">
        <x:v>2025</x:v>
      </x:c>
      <x:c r="S237" s="6" t="str">
        <x:v>Sep_Oct</x:v>
      </x:c>
      <x:c r="T237" s="6" t="d">
        <x:v>2025-10-12T14:07:15.000Z</x:v>
      </x:c>
      <x:c r="U237" s="6" t="str">
        <x:v>RESEARCH_WORKSPACE/ResearchTools/SaSa_Comment_Collection/data/instagram_gap_batch/DBePt0ntGVD_1792435089749991000.json</x:v>
      </x:c>
      <x:c r="V237" s="6" t="str">
        <x:v>RESEARCH_WORKSPACE/ResearchTools/SaSa_Comment_Collection/data/instagram_gap_batch/DBePt0ntGVD_1792435089749991000_position_02.png</x:v>
      </x:c>
      <x:c r="W237" s="6" t="str">
        <x:v>praise_or_other</x:v>
      </x:c>
      <x:c r="X237" s="6" t="str">
        <x:v>No explicit purchase intention or self-reported product purchase</x:v>
      </x:c>
      <x:c r="Y237" s="7" t="b">
        <x:v>0</x:v>
      </x:c>
    </x:row>
    <x:row r="238" ht="52" customHeight="1">
      <x:c r="A238" s="6" t="str">
        <x:v>instagram_18084126715912297</x:v>
      </x:c>
      <x:c r="B238" s="6" t="str">
        <x:v>instagram_DBePt0ntGVD</x:v>
      </x:c>
      <x:c r="C238" s="6" t="str">
        <x:v>Instagram</x:v>
      </x:c>
      <x:c r="D238" s="6" t="str">
        <x:v>valid</x:v>
      </x:c>
      <x:c r="E238" s="6" t="str">
        <x:v>สวยง่ายค่ะ</x:v>
      </x:c>
      <x:c r="F238" s="6" t="str">
        <x:v>Beautiful and easy.</x:v>
      </x:c>
      <x:c r="G238" s="6" t="str">
        <x:v>สวยง่ายค่ะ</x:v>
      </x:c>
      <x:c r="H238" s="6" t="str">
        <x:v>Individual text review against saved DOM; screenshots confirm unexpanded top-level presentation. No purchases inferred.</x:v>
      </x:c>
      <x:c r="I238" s="6" t="n">
        <x:v>1</x:v>
      </x:c>
      <x:c r="J238" s="6" t="n">
        <x:v>1</x:v>
      </x:c>
      <x:c r="K238" s="6" t="n">
        <x:v>0</x:v>
      </x:c>
      <x:c r="L238" s="6" t="n">
        <x:v>0</x:v>
      </x:c>
      <x:c r="M238" s="6" t="n">
        <x:v>0</x:v>
      </x:c>
      <x:c r="N238" s="6" t="n">
        <x:v>0</x:v>
      </x:c>
      <x:c r="O238" s="6" t="n">
        <x:v>0</x:v>
      </x:c>
      <x:c r="P238" s="6" t="n">
        <x:v>0</x:v>
      </x:c>
      <x:c r="Q238" s="6" t="str">
        <x:v>top_level</x:v>
      </x:c>
      <x:c r="R238" s="6" t="str">
        <x:v>2025</x:v>
      </x:c>
      <x:c r="S238" s="6" t="str">
        <x:v>Sep_Oct</x:v>
      </x:c>
      <x:c r="T238" s="6" t="d">
        <x:v>2025-09-22T13:10:37.000Z</x:v>
      </x:c>
      <x:c r="U238" s="6" t="str">
        <x:v>RESEARCH_WORKSPACE/ResearchTools/SaSa_Comment_Collection/data/instagram_gap_batch/DBePt0ntGVD_1792435089749991000.json</x:v>
      </x:c>
      <x:c r="V238" s="6" t="str">
        <x:v>RESEARCH_WORKSPACE/ResearchTools/SaSa_Comment_Collection/data/instagram_gap_batch/DBePt0ntGVD_1792435089749991000_position_03.png</x:v>
      </x:c>
      <x:c r="W238" s="6" t="str">
        <x:v>difficulty_or_tutorial_feedback</x:v>
      </x:c>
      <x:c r="X238" s="6" t="str">
        <x:v>No explicit purchase intention or self-reported product purchase</x:v>
      </x:c>
      <x:c r="Y238" s="7" t="b">
        <x:v>0</x:v>
      </x:c>
    </x:row>
    <x:row r="239" ht="52" customHeight="1">
      <x:c r="A239" s="6" t="str">
        <x:v>instagram_18055327184434648</x:v>
      </x:c>
      <x:c r="B239" s="6" t="str">
        <x:v>instagram_DBePt0ntGVD</x:v>
      </x:c>
      <x:c r="C239" s="6" t="str">
        <x:v>Instagram</x:v>
      </x:c>
      <x:c r="D239" s="6" t="str">
        <x:v>valid</x:v>
      </x:c>
      <x:c r="E239" s="6" t="str">
        <x:v>❤️❤️❤️❤️❤️ love it!!!</x:v>
      </x:c>
      <x:c r="F239" s="6" t="str"/>
      <x:c r="G239" s="6" t="str">
        <x:v>❤️❤️❤️❤️❤️ love it!!!</x:v>
      </x:c>
      <x:c r="H239" s="6" t="str">
        <x:v>Individual text review against saved DOM; screenshots confirm unexpanded top-level presentation. No purchases inferred.</x:v>
      </x:c>
      <x:c r="I239" s="6" t="n">
        <x:v>1</x:v>
      </x:c>
      <x:c r="J239" s="6" t="n">
        <x:v>0</x:v>
      </x:c>
      <x:c r="K239" s="6" t="n">
        <x:v>0</x:v>
      </x:c>
      <x:c r="L239" s="6" t="n">
        <x:v>0</x:v>
      </x:c>
      <x:c r="M239" s="6" t="n">
        <x:v>0</x:v>
      </x:c>
      <x:c r="N239" s="6" t="n">
        <x:v>0</x:v>
      </x:c>
      <x:c r="O239" s="6" t="n">
        <x:v>0</x:v>
      </x:c>
      <x:c r="P239" s="6" t="n">
        <x:v>0</x:v>
      </x:c>
      <x:c r="Q239" s="6" t="str">
        <x:v>top_level</x:v>
      </x:c>
      <x:c r="R239" s="6" t="str">
        <x:v>2025</x:v>
      </x:c>
      <x:c r="S239" s="6" t="str">
        <x:v>other_month</x:v>
      </x:c>
      <x:c r="T239" s="6" t="d">
        <x:v>2025-08-22T08:16:12.000Z</x:v>
      </x:c>
      <x:c r="U239" s="6" t="str">
        <x:v>RESEARCH_WORKSPACE/ResearchTools/SaSa_Comment_Collection/data/instagram_gap_batch/DBePt0ntGVD_1792435089749991000.json</x:v>
      </x:c>
      <x:c r="V239" s="6" t="str">
        <x:v>RESEARCH_WORKSPACE/ResearchTools/SaSa_Comment_Collection/data/instagram_gap_batch/DBePt0ntGVD_1792435089749991000_position_04.png</x:v>
      </x:c>
      <x:c r="W239" s="6" t="str">
        <x:v>praise_or_other</x:v>
      </x:c>
      <x:c r="X239" s="6" t="str">
        <x:v>No explicit purchase intention or self-reported product purchase</x:v>
      </x:c>
      <x:c r="Y239" s="7" t="b">
        <x:v>0</x:v>
      </x:c>
    </x:row>
    <x:row r="240" ht="52" customHeight="1">
      <x:c r="A240" s="6" t="str">
        <x:v>instagram_18063153974497701</x:v>
      </x:c>
      <x:c r="B240" s="6" t="str">
        <x:v>instagram_DBePt0ntGVD</x:v>
      </x:c>
      <x:c r="C240" s="6" t="str">
        <x:v>Instagram</x:v>
      </x:c>
      <x:c r="D240" s="6" t="str">
        <x:v>valid</x:v>
      </x:c>
      <x:c r="E240" s="6" t="str">
        <x:v>This is so good 🔥</x:v>
      </x:c>
      <x:c r="F240" s="6" t="str"/>
      <x:c r="G240" s="6" t="str">
        <x:v>This is so good 🔥</x:v>
      </x:c>
      <x:c r="H240" s="6" t="str">
        <x:v>Individual text review against saved DOM; screenshots confirm unexpanded top-level presentation. No purchases inferred.</x:v>
      </x:c>
      <x:c r="I240" s="6" t="n">
        <x:v>1</x:v>
      </x:c>
      <x:c r="J240" s="6" t="n">
        <x:v>0</x:v>
      </x:c>
      <x:c r="K240" s="6" t="n">
        <x:v>0</x:v>
      </x:c>
      <x:c r="L240" s="6" t="n">
        <x:v>0</x:v>
      </x:c>
      <x:c r="M240" s="6" t="n">
        <x:v>0</x:v>
      </x:c>
      <x:c r="N240" s="6" t="n">
        <x:v>0</x:v>
      </x:c>
      <x:c r="O240" s="6" t="n">
        <x:v>0</x:v>
      </x:c>
      <x:c r="P240" s="6" t="n">
        <x:v>0</x:v>
      </x:c>
      <x:c r="Q240" s="6" t="str">
        <x:v>top_level</x:v>
      </x:c>
      <x:c r="R240" s="6" t="str">
        <x:v>2025</x:v>
      </x:c>
      <x:c r="S240" s="6" t="str">
        <x:v>other_month</x:v>
      </x:c>
      <x:c r="T240" s="6" t="d">
        <x:v>2025-03-18T18:17:17.000Z</x:v>
      </x:c>
      <x:c r="U240" s="6" t="str">
        <x:v>RESEARCH_WORKSPACE/ResearchTools/SaSa_Comment_Collection/data/instagram_gap_batch/DBePt0ntGVD_1792435089749991000.json</x:v>
      </x:c>
      <x:c r="V240" s="6" t="str">
        <x:v>RESEARCH_WORKSPACE/ResearchTools/SaSa_Comment_Collection/data/instagram_gap_batch/DBePt0ntGVD_1792435089749991000_position_05.png</x:v>
      </x:c>
      <x:c r="W240" s="6" t="str">
        <x:v>praise_or_other</x:v>
      </x:c>
      <x:c r="X240" s="6" t="str">
        <x:v>No explicit purchase intention or self-reported product purchase</x:v>
      </x:c>
      <x:c r="Y240" s="7" t="b">
        <x:v>0</x:v>
      </x:c>
    </x:row>
    <x:row r="241" ht="52" customHeight="1">
      <x:c r="A241" s="6" t="str">
        <x:v>instagram_18139812559331166</x:v>
      </x:c>
      <x:c r="B241" s="6" t="str">
        <x:v>instagram_DBePt0ntGVD</x:v>
      </x:c>
      <x:c r="C241" s="6" t="str">
        <x:v>Instagram</x:v>
      </x:c>
      <x:c r="D241" s="6" t="str">
        <x:v>valid</x:v>
      </x:c>
      <x:c r="E241" s="6" t="str">
        <x:v>Beautiful work 💗</x:v>
      </x:c>
      <x:c r="F241" s="6" t="str"/>
      <x:c r="G241" s="6" t="str">
        <x:v>Beautiful work 💗</x:v>
      </x:c>
      <x:c r="H241" s="6" t="str">
        <x:v>Individual text review against saved DOM; screenshots confirm unexpanded top-level presentation. No purchases inferred.</x:v>
      </x:c>
      <x:c r="I241" s="6" t="n">
        <x:v>1</x:v>
      </x:c>
      <x:c r="J241" s="6" t="n">
        <x:v>0</x:v>
      </x:c>
      <x:c r="K241" s="6" t="n">
        <x:v>0</x:v>
      </x:c>
      <x:c r="L241" s="6" t="n">
        <x:v>0</x:v>
      </x:c>
      <x:c r="M241" s="6" t="n">
        <x:v>0</x:v>
      </x:c>
      <x:c r="N241" s="6" t="n">
        <x:v>0</x:v>
      </x:c>
      <x:c r="O241" s="6" t="n">
        <x:v>0</x:v>
      </x:c>
      <x:c r="P241" s="6" t="n">
        <x:v>0</x:v>
      </x:c>
      <x:c r="Q241" s="6" t="str">
        <x:v>top_level</x:v>
      </x:c>
      <x:c r="R241" s="6" t="str">
        <x:v>2024</x:v>
      </x:c>
      <x:c r="S241" s="6" t="str">
        <x:v>other_month</x:v>
      </x:c>
      <x:c r="T241" s="6" t="d">
        <x:v>2024-12-24T04:04:44.000Z</x:v>
      </x:c>
      <x:c r="U241" s="6" t="str">
        <x:v>RESEARCH_WORKSPACE/ResearchTools/SaSa_Comment_Collection/data/instagram_gap_batch/DBePt0ntGVD_1792435089749991000.json</x:v>
      </x:c>
      <x:c r="V241" s="6" t="str">
        <x:v>RESEARCH_WORKSPACE/ResearchTools/SaSa_Comment_Collection/data/instagram_gap_batch/DBePt0ntGVD_1792435089749991000_position_06.png</x:v>
      </x:c>
      <x:c r="W241" s="6" t="str">
        <x:v>praise_or_other</x:v>
      </x:c>
      <x:c r="X241" s="6" t="str">
        <x:v>No explicit purchase intention or self-reported product purchase</x:v>
      </x:c>
      <x:c r="Y241" s="7" t="b">
        <x:v>0</x:v>
      </x:c>
    </x:row>
    <x:row r="242" ht="52" customHeight="1">
      <x:c r="A242" s="6" t="str">
        <x:v>instagram_17934758453945983</x:v>
      </x:c>
      <x:c r="B242" s="6" t="str">
        <x:v>instagram_DBePt0ntGVD</x:v>
      </x:c>
      <x:c r="C242" s="6" t="str">
        <x:v>Instagram</x:v>
      </x:c>
      <x:c r="D242" s="6" t="str">
        <x:v>excluded</x:v>
      </x:c>
      <x:c r="E242" s="6" t="str">
        <x:v>😍😍😍</x:v>
      </x:c>
      <x:c r="F242" s="6" t="str"/>
      <x:c r="G242" s="6" t="str"/>
      <x:c r="H242" s="6" t="str">
        <x:v>Emoji/tag/punctuation only, music request or personal fan message; excluded from substantive makeup analysis.</x:v>
      </x:c>
      <x:c r="I242" s="6" t="n">
        <x:v>0</x:v>
      </x:c>
      <x:c r="J242" s="6" t="n">
        <x:v>0</x:v>
      </x:c>
      <x:c r="K242" s="6" t="n">
        <x:v>0</x:v>
      </x:c>
      <x:c r="L242" s="6" t="n">
        <x:v>0</x:v>
      </x:c>
      <x:c r="M242" s="6" t="n">
        <x:v>0</x:v>
      </x:c>
      <x:c r="N242" s="6" t="n">
        <x:v>0</x:v>
      </x:c>
      <x:c r="O242" s="6" t="n">
        <x:v>0</x:v>
      </x:c>
      <x:c r="P242" s="6" t="n">
        <x:v>0</x:v>
      </x:c>
      <x:c r="Q242" s="6" t="str">
        <x:v>top_level</x:v>
      </x:c>
      <x:c r="R242" s="6" t="str">
        <x:v>2024</x:v>
      </x:c>
      <x:c r="S242" s="6" t="str">
        <x:v>other_month</x:v>
      </x:c>
      <x:c r="T242" s="6" t="d">
        <x:v>2024-11-07T16:32:46.000Z</x:v>
      </x:c>
      <x:c r="U242" s="6" t="str">
        <x:v>RESEARCH_WORKSPACE/ResearchTools/SaSa_Comment_Collection/data/instagram_gap_batch/DBePt0ntGVD_1792435089749991000.json</x:v>
      </x:c>
      <x:c r="V242" s="6" t="str">
        <x:v>RESEARCH_WORKSPACE/ResearchTools/SaSa_Comment_Collection/data/instagram_gap_batch/DBePt0ntGVD_1792435089749991000_position_07.png</x:v>
      </x:c>
      <x:c r="W242" s="6" t="str">
        <x:v>praise_or_other</x:v>
      </x:c>
      <x:c r="X242" s="6" t="str">
        <x:v>No explicit purchase intention or self-reported product purchase</x:v>
      </x:c>
      <x:c r="Y242" s="7" t="b">
        <x:v>0</x:v>
      </x:c>
    </x:row>
    <x:row r="243" ht="52" customHeight="1">
      <x:c r="A243" s="6" t="str">
        <x:v>instagram_17911301354942624</x:v>
      </x:c>
      <x:c r="B243" s="6" t="str">
        <x:v>instagram_DBePt0ntGVD</x:v>
      </x:c>
      <x:c r="C243" s="6" t="str">
        <x:v>Instagram</x:v>
      </x:c>
      <x:c r="D243" s="6" t="str">
        <x:v>valid</x:v>
      </x:c>
      <x:c r="E243" s="6" t="str">
        <x:v>Cool ❤️😍</x:v>
      </x:c>
      <x:c r="F243" s="6" t="str"/>
      <x:c r="G243" s="6" t="str">
        <x:v>Cool ❤️😍</x:v>
      </x:c>
      <x:c r="H243" s="6" t="str">
        <x:v>Individual text review against saved DOM; screenshots confirm unexpanded top-level presentation. No purchases inferred.</x:v>
      </x:c>
      <x:c r="I243" s="6" t="n">
        <x:v>1</x:v>
      </x:c>
      <x:c r="J243" s="6" t="n">
        <x:v>0</x:v>
      </x:c>
      <x:c r="K243" s="6" t="n">
        <x:v>0</x:v>
      </x:c>
      <x:c r="L243" s="6" t="n">
        <x:v>0</x:v>
      </x:c>
      <x:c r="M243" s="6" t="n">
        <x:v>0</x:v>
      </x:c>
      <x:c r="N243" s="6" t="n">
        <x:v>0</x:v>
      </x:c>
      <x:c r="O243" s="6" t="n">
        <x:v>0</x:v>
      </x:c>
      <x:c r="P243" s="6" t="n">
        <x:v>0</x:v>
      </x:c>
      <x:c r="Q243" s="6" t="str">
        <x:v>top_level</x:v>
      </x:c>
      <x:c r="R243" s="6" t="str">
        <x:v>2024</x:v>
      </x:c>
      <x:c r="S243" s="6" t="str">
        <x:v>other_month</x:v>
      </x:c>
      <x:c r="T243" s="6" t="d">
        <x:v>2024-11-03T21:42:28.000Z</x:v>
      </x:c>
      <x:c r="U243" s="6" t="str">
        <x:v>RESEARCH_WORKSPACE/ResearchTools/SaSa_Comment_Collection/data/instagram_gap_batch/DBePt0ntGVD_1792435089749991000.json</x:v>
      </x:c>
      <x:c r="V243" s="6" t="str">
        <x:v>RESEARCH_WORKSPACE/ResearchTools/SaSa_Comment_Collection/data/instagram_gap_batch/DBePt0ntGVD_1792435089749991000_position_08.png</x:v>
      </x:c>
      <x:c r="W243" s="6" t="str">
        <x:v>praise_or_other</x:v>
      </x:c>
      <x:c r="X243" s="6" t="str">
        <x:v>No explicit purchase intention or self-reported product purchase</x:v>
      </x:c>
      <x:c r="Y243" s="7" t="b">
        <x:v>0</x:v>
      </x:c>
    </x:row>
    <x:row r="244" ht="52" customHeight="1">
      <x:c r="A244" s="6" t="str">
        <x:v>instagram_18070364431716559</x:v>
      </x:c>
      <x:c r="B244" s="6" t="str">
        <x:v>instagram_DBePt0ntGVD</x:v>
      </x:c>
      <x:c r="C244" s="6" t="str">
        <x:v>Instagram</x:v>
      </x:c>
      <x:c r="D244" s="6" t="str">
        <x:v>valid</x:v>
      </x:c>
      <x:c r="E244" s="6" t="str">
        <x:v>باحاله 😍</x:v>
      </x:c>
      <x:c r="F244" s="6" t="str">
        <x:v>Cool.</x:v>
      </x:c>
      <x:c r="G244" s="6" t="str">
        <x:v>باحاله 😍</x:v>
      </x:c>
      <x:c r="H244" s="6" t="str">
        <x:v>Individual text review against saved DOM; screenshots confirm unexpanded top-level presentation. No purchases inferred.</x:v>
      </x:c>
      <x:c r="I244" s="6" t="n">
        <x:v>1</x:v>
      </x:c>
      <x:c r="J244" s="6" t="n">
        <x:v>0</x:v>
      </x:c>
      <x:c r="K244" s="6" t="n">
        <x:v>0</x:v>
      </x:c>
      <x:c r="L244" s="6" t="n">
        <x:v>0</x:v>
      </x:c>
      <x:c r="M244" s="6" t="n">
        <x:v>0</x:v>
      </x:c>
      <x:c r="N244" s="6" t="n">
        <x:v>0</x:v>
      </x:c>
      <x:c r="O244" s="6" t="n">
        <x:v>0</x:v>
      </x:c>
      <x:c r="P244" s="6" t="n">
        <x:v>0</x:v>
      </x:c>
      <x:c r="Q244" s="6" t="str">
        <x:v>top_level</x:v>
      </x:c>
      <x:c r="R244" s="6" t="str">
        <x:v>2024</x:v>
      </x:c>
      <x:c r="S244" s="6" t="str">
        <x:v>other_month</x:v>
      </x:c>
      <x:c r="T244" s="6" t="d">
        <x:v>2024-11-02T16:45:05.000Z</x:v>
      </x:c>
      <x:c r="U244" s="6" t="str">
        <x:v>RESEARCH_WORKSPACE/ResearchTools/SaSa_Comment_Collection/data/instagram_gap_batch/DBePt0ntGVD_1792435089749991000.json</x:v>
      </x:c>
      <x:c r="V244" s="6" t="str">
        <x:v>RESEARCH_WORKSPACE/ResearchTools/SaSa_Comment_Collection/data/instagram_gap_batch/DBePt0ntGVD_1792435089749991000_position_09.png</x:v>
      </x:c>
      <x:c r="W244" s="6" t="str">
        <x:v>praise_or_other</x:v>
      </x:c>
      <x:c r="X244" s="6" t="str">
        <x:v>No explicit purchase intention or self-reported product purchase</x:v>
      </x:c>
      <x:c r="Y244" s="7" t="b">
        <x:v>0</x:v>
      </x:c>
    </x:row>
    <x:row r="245" ht="52" customHeight="1">
      <x:c r="A245" s="6" t="str">
        <x:v>instagram_18065699947654897</x:v>
      </x:c>
      <x:c r="B245" s="6" t="str">
        <x:v>instagram_DBePt0ntGVD</x:v>
      </x:c>
      <x:c r="C245" s="6" t="str">
        <x:v>Instagram</x:v>
      </x:c>
      <x:c r="D245" s="6" t="str">
        <x:v>excluded</x:v>
      </x:c>
      <x:c r="E245" s="6" t="str">
        <x:v>@[anonymised]</x:v>
      </x:c>
      <x:c r="F245" s="6" t="str"/>
      <x:c r="G245" s="6" t="str"/>
      <x:c r="H245" s="6" t="str">
        <x:v>Emoji/tag/punctuation only, music request or personal fan message; excluded from substantive makeup analysis.</x:v>
      </x:c>
      <x:c r="I245" s="6" t="n">
        <x:v>0</x:v>
      </x:c>
      <x:c r="J245" s="6" t="n">
        <x:v>0</x:v>
      </x:c>
      <x:c r="K245" s="6" t="n">
        <x:v>0</x:v>
      </x:c>
      <x:c r="L245" s="6" t="n">
        <x:v>0</x:v>
      </x:c>
      <x:c r="M245" s="6" t="n">
        <x:v>0</x:v>
      </x:c>
      <x:c r="N245" s="6" t="n">
        <x:v>0</x:v>
      </x:c>
      <x:c r="O245" s="6" t="n">
        <x:v>0</x:v>
      </x:c>
      <x:c r="P245" s="6" t="n">
        <x:v>0</x:v>
      </x:c>
      <x:c r="Q245" s="6" t="str">
        <x:v>top_level</x:v>
      </x:c>
      <x:c r="R245" s="6" t="str">
        <x:v>2024</x:v>
      </x:c>
      <x:c r="S245" s="6" t="str">
        <x:v>other_month</x:v>
      </x:c>
      <x:c r="T245" s="6" t="d">
        <x:v>2024-11-01T20:36:26.000Z</x:v>
      </x:c>
      <x:c r="U245" s="6" t="str">
        <x:v>RESEARCH_WORKSPACE/ResearchTools/SaSa_Comment_Collection/data/instagram_gap_batch/DBePt0ntGVD_1792435089749991000.json</x:v>
      </x:c>
      <x:c r="V245" s="6" t="str">
        <x:v>RESEARCH_WORKSPACE/ResearchTools/SaSa_Comment_Collection/data/instagram_gap_batch/DBePt0ntGVD_1792435089749991000_position_10.png</x:v>
      </x:c>
      <x:c r="W245" s="6" t="str">
        <x:v>praise_or_other</x:v>
      </x:c>
      <x:c r="X245" s="6" t="str">
        <x:v>No explicit purchase intention or self-reported product purchase</x:v>
      </x:c>
      <x:c r="Y245" s="7" t="b">
        <x:v>0</x:v>
      </x:c>
    </x:row>
    <x:row r="246" ht="52" customHeight="1">
      <x:c r="A246" s="6" t="str">
        <x:v>instagram_17945091488864559</x:v>
      </x:c>
      <x:c r="B246" s="6" t="str">
        <x:v>instagram_DBePt0ntGVD</x:v>
      </x:c>
      <x:c r="C246" s="6" t="str">
        <x:v>Instagram</x:v>
      </x:c>
      <x:c r="D246" s="6" t="str">
        <x:v>excluded</x:v>
      </x:c>
      <x:c r="E246" s="6" t="str">
        <x:v>#jacquelinedoldersum</x:v>
      </x:c>
      <x:c r="F246" s="6" t="str"/>
      <x:c r="G246" s="6" t="str"/>
      <x:c r="H246" s="6" t="str">
        <x:v>Emoji/tag/punctuation only, music request or personal fan message; excluded from substantive makeup analysis.</x:v>
      </x:c>
      <x:c r="I246" s="6" t="n">
        <x:v>0</x:v>
      </x:c>
      <x:c r="J246" s="6" t="n">
        <x:v>0</x:v>
      </x:c>
      <x:c r="K246" s="6" t="n">
        <x:v>0</x:v>
      </x:c>
      <x:c r="L246" s="6" t="n">
        <x:v>0</x:v>
      </x:c>
      <x:c r="M246" s="6" t="n">
        <x:v>0</x:v>
      </x:c>
      <x:c r="N246" s="6" t="n">
        <x:v>0</x:v>
      </x:c>
      <x:c r="O246" s="6" t="n">
        <x:v>0</x:v>
      </x:c>
      <x:c r="P246" s="6" t="n">
        <x:v>0</x:v>
      </x:c>
      <x:c r="Q246" s="6" t="str">
        <x:v>top_level</x:v>
      </x:c>
      <x:c r="R246" s="6" t="str">
        <x:v>2024</x:v>
      </x:c>
      <x:c r="S246" s="6" t="str">
        <x:v>other_month</x:v>
      </x:c>
      <x:c r="T246" s="6" t="d">
        <x:v>2024-11-01T20:35:28.000Z</x:v>
      </x:c>
      <x:c r="U246" s="6" t="str">
        <x:v>RESEARCH_WORKSPACE/ResearchTools/SaSa_Comment_Collection/data/instagram_gap_batch/DBePt0ntGVD_1792435089749991000.json</x:v>
      </x:c>
      <x:c r="V246" s="6" t="str">
        <x:v>RESEARCH_WORKSPACE/ResearchTools/SaSa_Comment_Collection/data/instagram_gap_batch/DBePt0ntGVD_1792435089749991000_position_11.png</x:v>
      </x:c>
      <x:c r="W246" s="6" t="str">
        <x:v>praise_or_other</x:v>
      </x:c>
      <x:c r="X246" s="6" t="str">
        <x:v>No explicit purchase intention or self-reported product purchase</x:v>
      </x:c>
      <x:c r="Y246" s="7" t="b">
        <x:v>0</x:v>
      </x:c>
    </x:row>
    <x:row r="247" ht="52" customHeight="1">
      <x:c r="A247" s="6" t="str">
        <x:v>instagram_18283316839213030</x:v>
      </x:c>
      <x:c r="B247" s="6" t="str">
        <x:v>instagram_DBePt0ntGVD</x:v>
      </x:c>
      <x:c r="C247" s="6" t="str">
        <x:v>Instagram</x:v>
      </x:c>
      <x:c r="D247" s="6" t="str">
        <x:v>excluded</x:v>
      </x:c>
      <x:c r="E247" s="6" t="str">
        <x:v>@[anonymised]</x:v>
      </x:c>
      <x:c r="F247" s="6" t="str"/>
      <x:c r="G247" s="6" t="str"/>
      <x:c r="H247" s="6" t="str">
        <x:v>Emoji/tag/punctuation only, music request or personal fan message; excluded from substantive makeup analysis.</x:v>
      </x:c>
      <x:c r="I247" s="6" t="n">
        <x:v>0</x:v>
      </x:c>
      <x:c r="J247" s="6" t="n">
        <x:v>0</x:v>
      </x:c>
      <x:c r="K247" s="6" t="n">
        <x:v>0</x:v>
      </x:c>
      <x:c r="L247" s="6" t="n">
        <x:v>0</x:v>
      </x:c>
      <x:c r="M247" s="6" t="n">
        <x:v>0</x:v>
      </x:c>
      <x:c r="N247" s="6" t="n">
        <x:v>0</x:v>
      </x:c>
      <x:c r="O247" s="6" t="n">
        <x:v>0</x:v>
      </x:c>
      <x:c r="P247" s="6" t="n">
        <x:v>0</x:v>
      </x:c>
      <x:c r="Q247" s="6" t="str">
        <x:v>top_level</x:v>
      </x:c>
      <x:c r="R247" s="6" t="str">
        <x:v>2024</x:v>
      </x:c>
      <x:c r="S247" s="6" t="str">
        <x:v>other_month</x:v>
      </x:c>
      <x:c r="T247" s="6" t="d">
        <x:v>2024-11-01T18:22:26.000Z</x:v>
      </x:c>
      <x:c r="U247" s="6" t="str">
        <x:v>RESEARCH_WORKSPACE/ResearchTools/SaSa_Comment_Collection/data/instagram_gap_batch/DBePt0ntGVD_1792435089749991000.json</x:v>
      </x:c>
      <x:c r="V247" s="6" t="str">
        <x:v>RESEARCH_WORKSPACE/ResearchTools/SaSa_Comment_Collection/data/instagram_gap_batch/DBePt0ntGVD_1792435089749991000_position_12.png</x:v>
      </x:c>
      <x:c r="W247" s="6" t="str">
        <x:v>praise_or_other</x:v>
      </x:c>
      <x:c r="X247" s="6" t="str">
        <x:v>No explicit purchase intention or self-reported product purchase</x:v>
      </x:c>
      <x:c r="Y247" s="7" t="b">
        <x:v>0</x:v>
      </x:c>
    </x:row>
    <x:row r="248" ht="52" customHeight="1">
      <x:c r="A248" s="6" t="str">
        <x:v>instagram_17987633768729001</x:v>
      </x:c>
      <x:c r="B248" s="6" t="str">
        <x:v>instagram_DBePt0ntGVD</x:v>
      </x:c>
      <x:c r="C248" s="6" t="str">
        <x:v>Instagram</x:v>
      </x:c>
      <x:c r="D248" s="6" t="str">
        <x:v>excluded</x:v>
      </x:c>
      <x:c r="E248" s="6" t="str">
        <x:v>@[anonymised]</x:v>
      </x:c>
      <x:c r="F248" s="6" t="str"/>
      <x:c r="G248" s="6" t="str"/>
      <x:c r="H248" s="6" t="str">
        <x:v>Emoji/tag/punctuation only, music request or personal fan message; excluded from substantive makeup analysis.</x:v>
      </x:c>
      <x:c r="I248" s="6" t="n">
        <x:v>0</x:v>
      </x:c>
      <x:c r="J248" s="6" t="n">
        <x:v>0</x:v>
      </x:c>
      <x:c r="K248" s="6" t="n">
        <x:v>0</x:v>
      </x:c>
      <x:c r="L248" s="6" t="n">
        <x:v>0</x:v>
      </x:c>
      <x:c r="M248" s="6" t="n">
        <x:v>0</x:v>
      </x:c>
      <x:c r="N248" s="6" t="n">
        <x:v>0</x:v>
      </x:c>
      <x:c r="O248" s="6" t="n">
        <x:v>0</x:v>
      </x:c>
      <x:c r="P248" s="6" t="n">
        <x:v>0</x:v>
      </x:c>
      <x:c r="Q248" s="6" t="str">
        <x:v>top_level</x:v>
      </x:c>
      <x:c r="R248" s="6" t="str">
        <x:v>2024</x:v>
      </x:c>
      <x:c r="S248" s="6" t="str">
        <x:v>other_month</x:v>
      </x:c>
      <x:c r="T248" s="6" t="d">
        <x:v>2024-11-01T14:56:48.000Z</x:v>
      </x:c>
      <x:c r="U248" s="6" t="str">
        <x:v>RESEARCH_WORKSPACE/ResearchTools/SaSa_Comment_Collection/data/instagram_gap_batch/DBePt0ntGVD_1792435089749991000.json</x:v>
      </x:c>
      <x:c r="V248" s="6" t="str">
        <x:v>RESEARCH_WORKSPACE/ResearchTools/SaSa_Comment_Collection/data/instagram_gap_batch/DBePt0ntGVD_1792435089749991000_position_13.png</x:v>
      </x:c>
      <x:c r="W248" s="6" t="str">
        <x:v>praise_or_other</x:v>
      </x:c>
      <x:c r="X248" s="6" t="str">
        <x:v>No explicit purchase intention or self-reported product purchase</x:v>
      </x:c>
      <x:c r="Y248" s="7" t="b">
        <x:v>0</x:v>
      </x:c>
    </x:row>
    <x:row r="249" ht="52" customHeight="1">
      <x:c r="A249" s="6" t="str">
        <x:v>instagram_18475332274004503</x:v>
      </x:c>
      <x:c r="B249" s="6" t="str">
        <x:v>instagram_DBePt0ntGVD</x:v>
      </x:c>
      <x:c r="C249" s="6" t="str">
        <x:v>Instagram</x:v>
      </x:c>
      <x:c r="D249" s="6" t="str">
        <x:v>excluded</x:v>
      </x:c>
      <x:c r="E249" s="6" t="str">
        <x:v>@[anonymised]</x:v>
      </x:c>
      <x:c r="F249" s="6" t="str"/>
      <x:c r="G249" s="6" t="str"/>
      <x:c r="H249" s="6" t="str">
        <x:v>Emoji/tag/punctuation only, music request or personal fan message; excluded from substantive makeup analysis.</x:v>
      </x:c>
      <x:c r="I249" s="6" t="n">
        <x:v>0</x:v>
      </x:c>
      <x:c r="J249" s="6" t="n">
        <x:v>0</x:v>
      </x:c>
      <x:c r="K249" s="6" t="n">
        <x:v>0</x:v>
      </x:c>
      <x:c r="L249" s="6" t="n">
        <x:v>0</x:v>
      </x:c>
      <x:c r="M249" s="6" t="n">
        <x:v>0</x:v>
      </x:c>
      <x:c r="N249" s="6" t="n">
        <x:v>0</x:v>
      </x:c>
      <x:c r="O249" s="6" t="n">
        <x:v>0</x:v>
      </x:c>
      <x:c r="P249" s="6" t="n">
        <x:v>0</x:v>
      </x:c>
      <x:c r="Q249" s="6" t="str">
        <x:v>top_level</x:v>
      </x:c>
      <x:c r="R249" s="6" t="str">
        <x:v>2024</x:v>
      </x:c>
      <x:c r="S249" s="6" t="str">
        <x:v>other_month</x:v>
      </x:c>
      <x:c r="T249" s="6" t="d">
        <x:v>2024-11-01T14:56:14.000Z</x:v>
      </x:c>
      <x:c r="U249" s="6" t="str">
        <x:v>RESEARCH_WORKSPACE/ResearchTools/SaSa_Comment_Collection/data/instagram_gap_batch/DBePt0ntGVD_1792435089749991000.json</x:v>
      </x:c>
      <x:c r="V249" s="6" t="str">
        <x:v>RESEARCH_WORKSPACE/ResearchTools/SaSa_Comment_Collection/data/instagram_gap_batch/DBePt0ntGVD_1792435089749991000_position_14.png</x:v>
      </x:c>
      <x:c r="W249" s="6" t="str">
        <x:v>praise_or_other</x:v>
      </x:c>
      <x:c r="X249" s="6" t="str">
        <x:v>No explicit purchase intention or self-reported product purchase</x:v>
      </x:c>
      <x:c r="Y249" s="7" t="b">
        <x:v>0</x:v>
      </x:c>
    </x:row>
    <x:row r="250" ht="52" customHeight="1">
      <x:c r="A250" s="6" t="str">
        <x:v>instagram_18050027266961955</x:v>
      </x:c>
      <x:c r="B250" s="6" t="str">
        <x:v>instagram_DBePt0ntGVD</x:v>
      </x:c>
      <x:c r="C250" s="6" t="str">
        <x:v>Instagram</x:v>
      </x:c>
      <x:c r="D250" s="6" t="str">
        <x:v>excluded</x:v>
      </x:c>
      <x:c r="E250" s="6" t="str">
        <x:v>@[anonymised]</x:v>
      </x:c>
      <x:c r="F250" s="6" t="str"/>
      <x:c r="G250" s="6" t="str"/>
      <x:c r="H250" s="6" t="str">
        <x:v>Emoji/tag/punctuation only, music request or personal fan message; excluded from substantive makeup analysis.</x:v>
      </x:c>
      <x:c r="I250" s="6" t="n">
        <x:v>0</x:v>
      </x:c>
      <x:c r="J250" s="6" t="n">
        <x:v>0</x:v>
      </x:c>
      <x:c r="K250" s="6" t="n">
        <x:v>0</x:v>
      </x:c>
      <x:c r="L250" s="6" t="n">
        <x:v>0</x:v>
      </x:c>
      <x:c r="M250" s="6" t="n">
        <x:v>0</x:v>
      </x:c>
      <x:c r="N250" s="6" t="n">
        <x:v>0</x:v>
      </x:c>
      <x:c r="O250" s="6" t="n">
        <x:v>0</x:v>
      </x:c>
      <x:c r="P250" s="6" t="n">
        <x:v>0</x:v>
      </x:c>
      <x:c r="Q250" s="6" t="str">
        <x:v>top_level</x:v>
      </x:c>
      <x:c r="R250" s="6" t="str">
        <x:v>2024</x:v>
      </x:c>
      <x:c r="S250" s="6" t="str">
        <x:v>other_month</x:v>
      </x:c>
      <x:c r="T250" s="6" t="d">
        <x:v>2024-11-01T12:23:30.000Z</x:v>
      </x:c>
      <x:c r="U250" s="6" t="str">
        <x:v>RESEARCH_WORKSPACE/ResearchTools/SaSa_Comment_Collection/data/instagram_gap_batch/DBePt0ntGVD_1792435089749991000.json</x:v>
      </x:c>
      <x:c r="V250" s="6" t="str">
        <x:v>RESEARCH_WORKSPACE/ResearchTools/SaSa_Comment_Collection/data/instagram_gap_batch/DBePt0ntGVD_1792435089749991000_position_15.png</x:v>
      </x:c>
      <x:c r="W250" s="6" t="str">
        <x:v>praise_or_other</x:v>
      </x:c>
      <x:c r="X250" s="6" t="str">
        <x:v>No explicit purchase intention or self-reported product purchase</x:v>
      </x:c>
      <x:c r="Y250" s="7" t="b">
        <x:v>0</x:v>
      </x:c>
    </x:row>
    <x:row r="251" ht="52" customHeight="1">
      <x:c r="A251" s="6" t="str">
        <x:v>instagram_17954196144034764</x:v>
      </x:c>
      <x:c r="B251" s="6" t="str">
        <x:v>instagram_DPg7zL-DB7o</x:v>
      </x:c>
      <x:c r="C251" s="6" t="str">
        <x:v>Instagram</x:v>
      </x:c>
      <x:c r="D251" s="6" t="str">
        <x:v>valid</x:v>
      </x:c>
      <x:c r="E251" s="6" t="str">
        <x:v>“I drew it too, do you want to see?”</x:v>
      </x:c>
      <x:c r="F251" s="6" t="str"/>
      <x:c r="G251" s="6" t="str">
        <x:v>“I drew it too, do you want to see?”</x:v>
      </x:c>
      <x:c r="H251" s="6" t="str">
        <x:v>Individual text review against saved DOM; screenshots confirm unexpanded top-level presentation. No purchases inferred.</x:v>
      </x:c>
      <x:c r="I251" s="6" t="n">
        <x:v>0</x:v>
      </x:c>
      <x:c r="J251" s="6" t="n">
        <x:v>1</x:v>
      </x:c>
      <x:c r="K251" s="6" t="n">
        <x:v>0</x:v>
      </x:c>
      <x:c r="L251" s="6" t="n">
        <x:v>0</x:v>
      </x:c>
      <x:c r="M251" s="6" t="n">
        <x:v>0</x:v>
      </x:c>
      <x:c r="N251" s="6" t="n">
        <x:v>0</x:v>
      </x:c>
      <x:c r="O251" s="6" t="n">
        <x:v>0</x:v>
      </x:c>
      <x:c r="P251" s="6" t="n">
        <x:v>0</x:v>
      </x:c>
      <x:c r="Q251" s="6" t="str">
        <x:v>top_level</x:v>
      </x:c>
      <x:c r="R251" s="6" t="str">
        <x:v>2025</x:v>
      </x:c>
      <x:c r="S251" s="6" t="str">
        <x:v>other_month</x:v>
      </x:c>
      <x:c r="T251" s="6" t="d">
        <x:v>2025-11-03T16:16:50.000Z</x:v>
      </x:c>
      <x:c r="U251" s="6" t="str">
        <x:v>RESEARCH_WORKSPACE/ResearchTools/SaSa_Comment_Collection/data/instagram_gap_batch/DPg7zL-DB7o_1792435122813044000.json</x:v>
      </x:c>
      <x:c r="V251" s="6" t="str">
        <x:v>RESEARCH_WORKSPACE/ResearchTools/SaSa_Comment_Collection/data/instagram_gap_batch/DPg7zL-DB7o_1792435122813044000_position_01.png</x:v>
      </x:c>
      <x:c r="W251" s="6" t="str">
        <x:v>difficulty_or_tutorial_feedback</x:v>
      </x:c>
      <x:c r="X251" s="6" t="str">
        <x:v>No explicit purchase intention or self-reported product purchase</x:v>
      </x:c>
      <x:c r="Y251" s="7" t="b">
        <x:v>0</x:v>
      </x:c>
    </x:row>
    <x:row r="252" ht="52" customHeight="1">
      <x:c r="A252" s="6" t="str">
        <x:v>instagram_18090196708923936</x:v>
      </x:c>
      <x:c r="B252" s="6" t="str">
        <x:v>instagram_DPg7zL-DB7o</x:v>
      </x:c>
      <x:c r="C252" s="6" t="str">
        <x:v>Instagram</x:v>
      </x:c>
      <x:c r="D252" s="6" t="str">
        <x:v>valid</x:v>
      </x:c>
      <x:c r="E252" s="6" t="str">
        <x:v>The spider was spot on! 🕷🏆</x:v>
      </x:c>
      <x:c r="F252" s="6" t="str"/>
      <x:c r="G252" s="6" t="str">
        <x:v>The spider was spot on! 🕷🏆</x:v>
      </x:c>
      <x:c r="H252" s="6" t="str">
        <x:v>Individual text review against saved DOM; screenshots confirm unexpanded top-level presentation. No purchases inferred.</x:v>
      </x:c>
      <x:c r="I252" s="6" t="n">
        <x:v>1</x:v>
      </x:c>
      <x:c r="J252" s="6" t="n">
        <x:v>0</x:v>
      </x:c>
      <x:c r="K252" s="6" t="n">
        <x:v>0</x:v>
      </x:c>
      <x:c r="L252" s="6" t="n">
        <x:v>0</x:v>
      </x:c>
      <x:c r="M252" s="6" t="n">
        <x:v>0</x:v>
      </x:c>
      <x:c r="N252" s="6" t="n">
        <x:v>0</x:v>
      </x:c>
      <x:c r="O252" s="6" t="n">
        <x:v>0</x:v>
      </x:c>
      <x:c r="P252" s="6" t="n">
        <x:v>0</x:v>
      </x:c>
      <x:c r="Q252" s="6" t="str">
        <x:v>top_level</x:v>
      </x:c>
      <x:c r="R252" s="6" t="str">
        <x:v>2025</x:v>
      </x:c>
      <x:c r="S252" s="6" t="str">
        <x:v>other_month</x:v>
      </x:c>
      <x:c r="T252" s="6" t="d">
        <x:v>2025-11-01T10:08:32.000Z</x:v>
      </x:c>
      <x:c r="U252" s="6" t="str">
        <x:v>RESEARCH_WORKSPACE/ResearchTools/SaSa_Comment_Collection/data/instagram_gap_batch/DPg7zL-DB7o_1792435122813044000.json</x:v>
      </x:c>
      <x:c r="V252" s="6" t="str">
        <x:v>RESEARCH_WORKSPACE/ResearchTools/SaSa_Comment_Collection/data/instagram_gap_batch/DPg7zL-DB7o_1792435122813044000_position_02.png</x:v>
      </x:c>
      <x:c r="W252" s="6" t="str">
        <x:v>praise_or_other</x:v>
      </x:c>
      <x:c r="X252" s="6" t="str">
        <x:v>No explicit purchase intention or self-reported product purchase</x:v>
      </x:c>
      <x:c r="Y252" s="7" t="b">
        <x:v>0</x:v>
      </x:c>
    </x:row>
    <x:row r="253" ht="52" customHeight="1">
      <x:c r="A253" s="6" t="str">
        <x:v>instagram_17913402174231264</x:v>
      </x:c>
      <x:c r="B253" s="6" t="str">
        <x:v>instagram_DPg7zL-DB7o</x:v>
      </x:c>
      <x:c r="C253" s="6" t="str">
        <x:v>Instagram</x:v>
      </x:c>
      <x:c r="D253" s="6" t="str">
        <x:v>valid</x:v>
      </x:c>
      <x:c r="E253" s="6" t="str">
        <x:v>I love the ideas! Although I don't get the first one, can anyone tell me what it is?</x:v>
      </x:c>
      <x:c r="F253" s="6" t="str"/>
      <x:c r="G253" s="6" t="str">
        <x:v>I love the ideas! Although I don't get the first one, can anyone tell me what it is?</x:v>
      </x:c>
      <x:c r="H253" s="6" t="str">
        <x:v>Individual text review against saved DOM; screenshots confirm unexpanded top-level presentation. No purchases inferred.</x:v>
      </x:c>
      <x:c r="I253" s="6" t="n">
        <x:v>1</x:v>
      </x:c>
      <x:c r="J253" s="6" t="n">
        <x:v>1</x:v>
      </x:c>
      <x:c r="K253" s="6" t="n">
        <x:v>0</x:v>
      </x:c>
      <x:c r="L253" s="6" t="n">
        <x:v>0</x:v>
      </x:c>
      <x:c r="M253" s="6" t="n">
        <x:v>0</x:v>
      </x:c>
      <x:c r="N253" s="6" t="n">
        <x:v>0</x:v>
      </x:c>
      <x:c r="O253" s="6" t="n">
        <x:v>0</x:v>
      </x:c>
      <x:c r="P253" s="6" t="n">
        <x:v>0</x:v>
      </x:c>
      <x:c r="Q253" s="6" t="str">
        <x:v>top_level</x:v>
      </x:c>
      <x:c r="R253" s="6" t="str">
        <x:v>2025</x:v>
      </x:c>
      <x:c r="S253" s="6" t="str">
        <x:v>other_month</x:v>
      </x:c>
      <x:c r="T253" s="6" t="d">
        <x:v>2025-11-01T06:50:38.000Z</x:v>
      </x:c>
      <x:c r="U253" s="6" t="str">
        <x:v>RESEARCH_WORKSPACE/ResearchTools/SaSa_Comment_Collection/data/instagram_gap_batch/DPg7zL-DB7o_1792435122813044000.json</x:v>
      </x:c>
      <x:c r="V253" s="6" t="str">
        <x:v>RESEARCH_WORKSPACE/ResearchTools/SaSa_Comment_Collection/data/instagram_gap_batch/DPg7zL-DB7o_1792435122813044000_position_03.png</x:v>
      </x:c>
      <x:c r="W253" s="6" t="str">
        <x:v>difficulty_or_tutorial_feedback</x:v>
      </x:c>
      <x:c r="X253" s="6" t="str">
        <x:v>No explicit purchase intention or self-reported product purchase</x:v>
      </x:c>
      <x:c r="Y253" s="7" t="b">
        <x:v>0</x:v>
      </x:c>
    </x:row>
    <x:row r="254" ht="52" customHeight="1">
      <x:c r="A254" s="6" t="str">
        <x:v>instagram_18063362225146488</x:v>
      </x:c>
      <x:c r="B254" s="6" t="str">
        <x:v>instagram_DPg7zL-DB7o</x:v>
      </x:c>
      <x:c r="C254" s="6" t="str">
        <x:v>Instagram</x:v>
      </x:c>
      <x:c r="D254" s="6" t="str">
        <x:v>valid</x:v>
      </x:c>
      <x:c r="E254" s="6" t="str">
        <x:v>Whats the Red product???</x:v>
      </x:c>
      <x:c r="F254" s="6" t="str"/>
      <x:c r="G254" s="6" t="str">
        <x:v>Whats the Red product???</x:v>
      </x:c>
      <x:c r="H254" s="6" t="str">
        <x:v>Individual text review against saved DOM; screenshots confirm unexpanded top-level presentation. No purchases inferred.</x:v>
      </x:c>
      <x:c r="I254" s="6" t="n">
        <x:v>0</x:v>
      </x:c>
      <x:c r="J254" s="6" t="n">
        <x:v>0</x:v>
      </x:c>
      <x:c r="K254" s="6" t="n">
        <x:v>1</x:v>
      </x:c>
      <x:c r="L254" s="6" t="n">
        <x:v>0</x:v>
      </x:c>
      <x:c r="M254" s="6" t="n">
        <x:v>0</x:v>
      </x:c>
      <x:c r="N254" s="6" t="n">
        <x:v>0</x:v>
      </x:c>
      <x:c r="O254" s="6" t="n">
        <x:v>0</x:v>
      </x:c>
      <x:c r="P254" s="6" t="n">
        <x:v>0</x:v>
      </x:c>
      <x:c r="Q254" s="6" t="str">
        <x:v>top_level</x:v>
      </x:c>
      <x:c r="R254" s="6" t="str">
        <x:v>2025</x:v>
      </x:c>
      <x:c r="S254" s="6" t="str">
        <x:v>other_month</x:v>
      </x:c>
      <x:c r="T254" s="6" t="d">
        <x:v>2025-11-01T03:35:06.000Z</x:v>
      </x:c>
      <x:c r="U254" s="6" t="str">
        <x:v>RESEARCH_WORKSPACE/ResearchTools/SaSa_Comment_Collection/data/instagram_gap_batch/DPg7zL-DB7o_1792435122813044000.json</x:v>
      </x:c>
      <x:c r="V254" s="6" t="str">
        <x:v>RESEARCH_WORKSPACE/ResearchTools/SaSa_Comment_Collection/data/instagram_gap_batch/DPg7zL-DB7o_1792435122813044000_position_04.png</x:v>
      </x:c>
      <x:c r="W254" s="6" t="str">
        <x:v>information_request</x:v>
      </x:c>
      <x:c r="X254" s="6" t="str">
        <x:v>No explicit purchase intention or self-reported product purchase</x:v>
      </x:c>
      <x:c r="Y254" s="7" t="b">
        <x:v>0</x:v>
      </x:c>
    </x:row>
    <x:row r="255" ht="52" customHeight="1">
      <x:c r="A255" s="6" t="str">
        <x:v>instagram_18084486589824803</x:v>
      </x:c>
      <x:c r="B255" s="6" t="str">
        <x:v>instagram_DPg7zL-DB7o</x:v>
      </x:c>
      <x:c r="C255" s="6" t="str">
        <x:v>Instagram</x:v>
      </x:c>
      <x:c r="D255" s="6" t="str">
        <x:v>valid</x:v>
      </x:c>
      <x:c r="E255" s="6" t="str">
        <x:v>Gostei do 3.</x:v>
      </x:c>
      <x:c r="F255" s="6" t="str">
        <x:v>I liked the third one.</x:v>
      </x:c>
      <x:c r="G255" s="6" t="str">
        <x:v>Gostei do 3.</x:v>
      </x:c>
      <x:c r="H255" s="6" t="str">
        <x:v>Individual text review against saved DOM; screenshots confirm unexpanded top-level presentation. No purchases inferred.</x:v>
      </x:c>
      <x:c r="I255" s="6" t="n">
        <x:v>1</x:v>
      </x:c>
      <x:c r="J255" s="6" t="n">
        <x:v>0</x:v>
      </x:c>
      <x:c r="K255" s="6" t="n">
        <x:v>0</x:v>
      </x:c>
      <x:c r="L255" s="6" t="n">
        <x:v>0</x:v>
      </x:c>
      <x:c r="M255" s="6" t="n">
        <x:v>0</x:v>
      </x:c>
      <x:c r="N255" s="6" t="n">
        <x:v>0</x:v>
      </x:c>
      <x:c r="O255" s="6" t="n">
        <x:v>0</x:v>
      </x:c>
      <x:c r="P255" s="6" t="n">
        <x:v>0</x:v>
      </x:c>
      <x:c r="Q255" s="6" t="str">
        <x:v>top_level</x:v>
      </x:c>
      <x:c r="R255" s="6" t="str">
        <x:v>2025</x:v>
      </x:c>
      <x:c r="S255" s="6" t="str">
        <x:v>other_month</x:v>
      </x:c>
      <x:c r="T255" s="6" t="d">
        <x:v>2025-11-01T03:28:56.000Z</x:v>
      </x:c>
      <x:c r="U255" s="6" t="str">
        <x:v>RESEARCH_WORKSPACE/ResearchTools/SaSa_Comment_Collection/data/instagram_gap_batch/DPg7zL-DB7o_1792435122813044000.json</x:v>
      </x:c>
      <x:c r="V255" s="6" t="str">
        <x:v>RESEARCH_WORKSPACE/ResearchTools/SaSa_Comment_Collection/data/instagram_gap_batch/DPg7zL-DB7o_1792435122813044000_position_05.png</x:v>
      </x:c>
      <x:c r="W255" s="6" t="str">
        <x:v>praise_or_other</x:v>
      </x:c>
      <x:c r="X255" s="6" t="str">
        <x:v>No explicit purchase intention or self-reported product purchase</x:v>
      </x:c>
      <x:c r="Y255" s="7" t="b">
        <x:v>0</x:v>
      </x:c>
    </x:row>
    <x:row r="256" ht="52" customHeight="1">
      <x:c r="A256" s="6" t="str">
        <x:v>instagram_18111581035508999</x:v>
      </x:c>
      <x:c r="B256" s="6" t="str">
        <x:v>instagram_DPg7zL-DB7o</x:v>
      </x:c>
      <x:c r="C256" s="6" t="str">
        <x:v>Instagram</x:v>
      </x:c>
      <x:c r="D256" s="6" t="str">
        <x:v>unclear</x:v>
      </x:c>
      <x:c r="E256" s="6" t="str">
        <x:v>Wow 😍</x:v>
      </x:c>
      <x:c r="F256" s="6" t="str"/>
      <x:c r="G256" s="6" t="str"/>
      <x:c r="H256" s="6" t="str">
        <x:v>Bare or ambiguous exclamation; no definite makeup interpretation assigned.</x:v>
      </x:c>
      <x:c r="I256" s="6" t="n">
        <x:v>0</x:v>
      </x:c>
      <x:c r="J256" s="6" t="n">
        <x:v>0</x:v>
      </x:c>
      <x:c r="K256" s="6" t="n">
        <x:v>0</x:v>
      </x:c>
      <x:c r="L256" s="6" t="n">
        <x:v>0</x:v>
      </x:c>
      <x:c r="M256" s="6" t="n">
        <x:v>0</x:v>
      </x:c>
      <x:c r="N256" s="6" t="n">
        <x:v>0</x:v>
      </x:c>
      <x:c r="O256" s="6" t="n">
        <x:v>0</x:v>
      </x:c>
      <x:c r="P256" s="6" t="n">
        <x:v>0</x:v>
      </x:c>
      <x:c r="Q256" s="6" t="str">
        <x:v>top_level</x:v>
      </x:c>
      <x:c r="R256" s="6" t="str">
        <x:v>2025</x:v>
      </x:c>
      <x:c r="S256" s="6" t="str">
        <x:v>other_month</x:v>
      </x:c>
      <x:c r="T256" s="6" t="d">
        <x:v>2025-10-31T20:17:19.000Z</x:v>
      </x:c>
      <x:c r="U256" s="6" t="str">
        <x:v>RESEARCH_WORKSPACE/ResearchTools/SaSa_Comment_Collection/data/instagram_gap_batch/DPg7zL-DB7o_1792435122813044000.json</x:v>
      </x:c>
      <x:c r="V256" s="6" t="str">
        <x:v>RESEARCH_WORKSPACE/ResearchTools/SaSa_Comment_Collection/data/instagram_gap_batch/DPg7zL-DB7o_1792435122813044000_position_06.png</x:v>
      </x:c>
      <x:c r="W256" s="6" t="str">
        <x:v>praise_or_other</x:v>
      </x:c>
      <x:c r="X256" s="6" t="str">
        <x:v>No explicit purchase intention or self-reported product purchase</x:v>
      </x:c>
      <x:c r="Y256" s="7" t="b">
        <x:v>0</x:v>
      </x:c>
    </x:row>
    <x:row r="257" ht="52" customHeight="1">
      <x:c r="A257" s="6" t="str">
        <x:v>instagram_18331881349233519</x:v>
      </x:c>
      <x:c r="B257" s="6" t="str">
        <x:v>instagram_DPg7zL-DB7o</x:v>
      </x:c>
      <x:c r="C257" s="6" t="str">
        <x:v>Instagram</x:v>
      </x:c>
      <x:c r="D257" s="6" t="str">
        <x:v>valid</x:v>
      </x:c>
      <x:c r="E257" s="6" t="str">
        <x:v>That's not easy for me.. :(</x:v>
      </x:c>
      <x:c r="F257" s="6" t="str"/>
      <x:c r="G257" s="6" t="str">
        <x:v>That's not easy for me.. :(</x:v>
      </x:c>
      <x:c r="H257" s="6" t="str">
        <x:v>Explicit difficulty/skill concern contradicts universal ease claim; not a buying refusal.</x:v>
      </x:c>
      <x:c r="I257" s="6" t="n">
        <x:v>0</x:v>
      </x:c>
      <x:c r="J257" s="6" t="n">
        <x:v>1</x:v>
      </x:c>
      <x:c r="K257" s="6" t="n">
        <x:v>0</x:v>
      </x:c>
      <x:c r="L257" s="6" t="n">
        <x:v>0</x:v>
      </x:c>
      <x:c r="M257" s="6" t="n">
        <x:v>0</x:v>
      </x:c>
      <x:c r="N257" s="6" t="n">
        <x:v>0</x:v>
      </x:c>
      <x:c r="O257" s="6" t="n">
        <x:v>0</x:v>
      </x:c>
      <x:c r="P257" s="6" t="n">
        <x:v>0</x:v>
      </x:c>
      <x:c r="Q257" s="6" t="str">
        <x:v>top_level</x:v>
      </x:c>
      <x:c r="R257" s="6" t="str">
        <x:v>2025</x:v>
      </x:c>
      <x:c r="S257" s="6" t="str">
        <x:v>Sep_Oct</x:v>
      </x:c>
      <x:c r="T257" s="6" t="d">
        <x:v>2025-10-31T11:33:38.000Z</x:v>
      </x:c>
      <x:c r="U257" s="6" t="str">
        <x:v>RESEARCH_WORKSPACE/ResearchTools/SaSa_Comment_Collection/data/instagram_gap_batch/DPg7zL-DB7o_1792435122813044000.json</x:v>
      </x:c>
      <x:c r="V257" s="6" t="str">
        <x:v>RESEARCH_WORKSPACE/ResearchTools/SaSa_Comment_Collection/data/instagram_gap_batch/DPg7zL-DB7o_1792435122813044000_position_07.png</x:v>
      </x:c>
      <x:c r="W257" s="6" t="str">
        <x:v>difficulty_or_tutorial_feedback</x:v>
      </x:c>
      <x:c r="X257" s="6" t="str">
        <x:v>No explicit purchase intention or self-reported product purchase</x:v>
      </x:c>
      <x:c r="Y257" s="7" t="b">
        <x:v>0</x:v>
      </x:c>
    </x:row>
    <x:row r="258" ht="52" customHeight="1">
      <x:c r="A258" s="6" t="str">
        <x:v>instagram_18529160173039080</x:v>
      </x:c>
      <x:c r="B258" s="6" t="str">
        <x:v>instagram_DPg7zL-DB7o</x:v>
      </x:c>
      <x:c r="C258" s="6" t="str">
        <x:v>Instagram</x:v>
      </x:c>
      <x:c r="D258" s="6" t="str">
        <x:v>valid</x:v>
      </x:c>
      <x:c r="E258" s="6" t="str">
        <x:v>Maravilhosa🔥</x:v>
      </x:c>
      <x:c r="F258" s="6" t="str">
        <x:v>Wonderful.</x:v>
      </x:c>
      <x:c r="G258" s="6" t="str">
        <x:v>Maravilhosa🔥</x:v>
      </x:c>
      <x:c r="H258" s="6" t="str">
        <x:v>Individual text review against saved DOM; screenshots confirm unexpanded top-level presentation. No purchases inferred.</x:v>
      </x:c>
      <x:c r="I258" s="6" t="n">
        <x:v>1</x:v>
      </x:c>
      <x:c r="J258" s="6" t="n">
        <x:v>0</x:v>
      </x:c>
      <x:c r="K258" s="6" t="n">
        <x:v>0</x:v>
      </x:c>
      <x:c r="L258" s="6" t="n">
        <x:v>0</x:v>
      </x:c>
      <x:c r="M258" s="6" t="n">
        <x:v>0</x:v>
      </x:c>
      <x:c r="N258" s="6" t="n">
        <x:v>0</x:v>
      </x:c>
      <x:c r="O258" s="6" t="n">
        <x:v>0</x:v>
      </x:c>
      <x:c r="P258" s="6" t="n">
        <x:v>0</x:v>
      </x:c>
      <x:c r="Q258" s="6" t="str">
        <x:v>top_level</x:v>
      </x:c>
      <x:c r="R258" s="6" t="str">
        <x:v>2025</x:v>
      </x:c>
      <x:c r="S258" s="6" t="str">
        <x:v>Sep_Oct</x:v>
      </x:c>
      <x:c r="T258" s="6" t="d">
        <x:v>2025-10-31T06:52:33.000Z</x:v>
      </x:c>
      <x:c r="U258" s="6" t="str">
        <x:v>RESEARCH_WORKSPACE/ResearchTools/SaSa_Comment_Collection/data/instagram_gap_batch/DPg7zL-DB7o_1792435122813044000.json</x:v>
      </x:c>
      <x:c r="V258" s="6" t="str">
        <x:v>RESEARCH_WORKSPACE/ResearchTools/SaSa_Comment_Collection/data/instagram_gap_batch/DPg7zL-DB7o_1792435122813044000_position_08.png</x:v>
      </x:c>
      <x:c r="W258" s="6" t="str">
        <x:v>praise_or_other</x:v>
      </x:c>
      <x:c r="X258" s="6" t="str">
        <x:v>No explicit purchase intention or self-reported product purchase</x:v>
      </x:c>
      <x:c r="Y258" s="7" t="b">
        <x:v>0</x:v>
      </x:c>
    </x:row>
    <x:row r="259" ht="52" customHeight="1">
      <x:c r="A259" s="6" t="str">
        <x:v>instagram_18073932338264396</x:v>
      </x:c>
      <x:c r="B259" s="6" t="str">
        <x:v>instagram_DPg7zL-DB7o</x:v>
      </x:c>
      <x:c r="C259" s="6" t="str">
        <x:v>Instagram</x:v>
      </x:c>
      <x:c r="D259" s="6" t="str">
        <x:v>valid</x:v>
      </x:c>
      <x:c r="E259" s="6" t="str">
        <x:v>The spider is really cool!👍🏻👍🏻</x:v>
      </x:c>
      <x:c r="F259" s="6" t="str"/>
      <x:c r="G259" s="6" t="str">
        <x:v>The spider is really cool!👍🏻👍🏻</x:v>
      </x:c>
      <x:c r="H259" s="6" t="str">
        <x:v>Individual text review against saved DOM; screenshots confirm unexpanded top-level presentation. No purchases inferred.</x:v>
      </x:c>
      <x:c r="I259" s="6" t="n">
        <x:v>1</x:v>
      </x:c>
      <x:c r="J259" s="6" t="n">
        <x:v>0</x:v>
      </x:c>
      <x:c r="K259" s="6" t="n">
        <x:v>0</x:v>
      </x:c>
      <x:c r="L259" s="6" t="n">
        <x:v>0</x:v>
      </x:c>
      <x:c r="M259" s="6" t="n">
        <x:v>0</x:v>
      </x:c>
      <x:c r="N259" s="6" t="n">
        <x:v>0</x:v>
      </x:c>
      <x:c r="O259" s="6" t="n">
        <x:v>0</x:v>
      </x:c>
      <x:c r="P259" s="6" t="n">
        <x:v>0</x:v>
      </x:c>
      <x:c r="Q259" s="6" t="str">
        <x:v>top_level</x:v>
      </x:c>
      <x:c r="R259" s="6" t="str">
        <x:v>2025</x:v>
      </x:c>
      <x:c r="S259" s="6" t="str">
        <x:v>Sep_Oct</x:v>
      </x:c>
      <x:c r="T259" s="6" t="d">
        <x:v>2025-10-31T06:33:10.000Z</x:v>
      </x:c>
      <x:c r="U259" s="6" t="str">
        <x:v>RESEARCH_WORKSPACE/ResearchTools/SaSa_Comment_Collection/data/instagram_gap_batch/DPg7zL-DB7o_1792435122813044000.json</x:v>
      </x:c>
      <x:c r="V259" s="6" t="str">
        <x:v>RESEARCH_WORKSPACE/ResearchTools/SaSa_Comment_Collection/data/instagram_gap_batch/DPg7zL-DB7o_1792435122813044000_position_09.png</x:v>
      </x:c>
      <x:c r="W259" s="6" t="str">
        <x:v>praise_or_other</x:v>
      </x:c>
      <x:c r="X259" s="6" t="str">
        <x:v>No explicit purchase intention or self-reported product purchase</x:v>
      </x:c>
      <x:c r="Y259" s="7" t="b">
        <x:v>0</x:v>
      </x:c>
    </x:row>
    <x:row r="260" ht="52" customHeight="1">
      <x:c r="A260" s="6" t="str">
        <x:v>instagram_18068890037060871</x:v>
      </x:c>
      <x:c r="B260" s="6" t="str">
        <x:v>instagram_DPg7zL-DB7o</x:v>
      </x:c>
      <x:c r="C260" s="6" t="str">
        <x:v>Instagram</x:v>
      </x:c>
      <x:c r="D260" s="6" t="str">
        <x:v>valid</x:v>
      </x:c>
      <x:c r="E260" s="6" t="str">
        <x:v>Que artista 👏👏👏👏👏</x:v>
      </x:c>
      <x:c r="F260" s="6" t="str">
        <x:v>What an artist.</x:v>
      </x:c>
      <x:c r="G260" s="6" t="str">
        <x:v>Que artista 👏👏👏👏👏</x:v>
      </x:c>
      <x:c r="H260" s="6" t="str">
        <x:v>Individual text review against saved DOM; screenshots confirm unexpanded top-level presentation. No purchases inferred.</x:v>
      </x:c>
      <x:c r="I260" s="6" t="n">
        <x:v>1</x:v>
      </x:c>
      <x:c r="J260" s="6" t="n">
        <x:v>0</x:v>
      </x:c>
      <x:c r="K260" s="6" t="n">
        <x:v>0</x:v>
      </x:c>
      <x:c r="L260" s="6" t="n">
        <x:v>0</x:v>
      </x:c>
      <x:c r="M260" s="6" t="n">
        <x:v>0</x:v>
      </x:c>
      <x:c r="N260" s="6" t="n">
        <x:v>0</x:v>
      </x:c>
      <x:c r="O260" s="6" t="n">
        <x:v>0</x:v>
      </x:c>
      <x:c r="P260" s="6" t="n">
        <x:v>0</x:v>
      </x:c>
      <x:c r="Q260" s="6" t="str">
        <x:v>top_level</x:v>
      </x:c>
      <x:c r="R260" s="6" t="str">
        <x:v>2025</x:v>
      </x:c>
      <x:c r="S260" s="6" t="str">
        <x:v>Sep_Oct</x:v>
      </x:c>
      <x:c r="T260" s="6" t="d">
        <x:v>2025-10-30T18:53:41.000Z</x:v>
      </x:c>
      <x:c r="U260" s="6" t="str">
        <x:v>RESEARCH_WORKSPACE/ResearchTools/SaSa_Comment_Collection/data/instagram_gap_batch/DPg7zL-DB7o_1792435122813044000.json</x:v>
      </x:c>
      <x:c r="V260" s="6" t="str">
        <x:v>RESEARCH_WORKSPACE/ResearchTools/SaSa_Comment_Collection/data/instagram_gap_batch/DPg7zL-DB7o_1792435122813044000_position_10.png</x:v>
      </x:c>
      <x:c r="W260" s="6" t="str">
        <x:v>praise_or_other</x:v>
      </x:c>
      <x:c r="X260" s="6" t="str">
        <x:v>No explicit purchase intention or self-reported product purchase</x:v>
      </x:c>
      <x:c r="Y260" s="7" t="b">
        <x:v>0</x:v>
      </x:c>
    </x:row>
    <x:row r="261" ht="52" customHeight="1">
      <x:c r="A261" s="6" t="str">
        <x:v>instagram_17882701308287511</x:v>
      </x:c>
      <x:c r="B261" s="6" t="str">
        <x:v>instagram_DPg7zL-DB7o</x:v>
      </x:c>
      <x:c r="C261" s="6" t="str">
        <x:v>Instagram</x:v>
      </x:c>
      <x:c r="D261" s="6" t="str">
        <x:v>valid</x:v>
      </x:c>
      <x:c r="E261" s="6" t="str">
        <x:v>You’re overestimating my skills…</x:v>
      </x:c>
      <x:c r="F261" s="6" t="str"/>
      <x:c r="G261" s="6" t="str">
        <x:v>You’re overestimating my skills…</x:v>
      </x:c>
      <x:c r="H261" s="6" t="str">
        <x:v>Explicit difficulty/skill concern contradicts universal ease claim; not a buying refusal.</x:v>
      </x:c>
      <x:c r="I261" s="6" t="n">
        <x:v>0</x:v>
      </x:c>
      <x:c r="J261" s="6" t="n">
        <x:v>1</x:v>
      </x:c>
      <x:c r="K261" s="6" t="n">
        <x:v>0</x:v>
      </x:c>
      <x:c r="L261" s="6" t="n">
        <x:v>0</x:v>
      </x:c>
      <x:c r="M261" s="6" t="n">
        <x:v>0</x:v>
      </x:c>
      <x:c r="N261" s="6" t="n">
        <x:v>0</x:v>
      </x:c>
      <x:c r="O261" s="6" t="n">
        <x:v>0</x:v>
      </x:c>
      <x:c r="P261" s="6" t="n">
        <x:v>0</x:v>
      </x:c>
      <x:c r="Q261" s="6" t="str">
        <x:v>top_level</x:v>
      </x:c>
      <x:c r="R261" s="6" t="str">
        <x:v>2025</x:v>
      </x:c>
      <x:c r="S261" s="6" t="str">
        <x:v>Sep_Oct</x:v>
      </x:c>
      <x:c r="T261" s="6" t="d">
        <x:v>2025-10-30T04:59:58.000Z</x:v>
      </x:c>
      <x:c r="U261" s="6" t="str">
        <x:v>RESEARCH_WORKSPACE/ResearchTools/SaSa_Comment_Collection/data/instagram_gap_batch/DPg7zL-DB7o_1792435122813044000.json</x:v>
      </x:c>
      <x:c r="V261" s="6" t="str">
        <x:v>RESEARCH_WORKSPACE/ResearchTools/SaSa_Comment_Collection/data/instagram_gap_batch/DPg7zL-DB7o_1792435122813044000_position_11.png</x:v>
      </x:c>
      <x:c r="W261" s="6" t="str">
        <x:v>difficulty_or_tutorial_feedback</x:v>
      </x:c>
      <x:c r="X261" s="6" t="str">
        <x:v>No explicit purchase intention or self-reported product purchase</x:v>
      </x:c>
      <x:c r="Y261" s="7" t="b">
        <x:v>0</x:v>
      </x:c>
    </x:row>
    <x:row r="262" ht="52" customHeight="1">
      <x:c r="A262" s="6" t="str">
        <x:v>instagram_18489936895073202</x:v>
      </x:c>
      <x:c r="B262" s="6" t="str">
        <x:v>instagram_DPg7zL-DB7o</x:v>
      </x:c>
      <x:c r="C262" s="6" t="str">
        <x:v>Instagram</x:v>
      </x:c>
      <x:c r="D262" s="6" t="str">
        <x:v>valid</x:v>
      </x:c>
      <x:c r="E262" s="6" t="str">
        <x:v>What products do you use for the spider?</x:v>
      </x:c>
      <x:c r="F262" s="6" t="str"/>
      <x:c r="G262" s="6" t="str">
        <x:v>What products do you use for the spider?</x:v>
      </x:c>
      <x:c r="H262" s="6" t="str">
        <x:v>Individual text review against saved DOM; screenshots confirm unexpanded top-level presentation. No purchases inferred.</x:v>
      </x:c>
      <x:c r="I262" s="6" t="n">
        <x:v>0</x:v>
      </x:c>
      <x:c r="J262" s="6" t="n">
        <x:v>0</x:v>
      </x:c>
      <x:c r="K262" s="6" t="n">
        <x:v>1</x:v>
      </x:c>
      <x:c r="L262" s="6" t="n">
        <x:v>0</x:v>
      </x:c>
      <x:c r="M262" s="6" t="n">
        <x:v>0</x:v>
      </x:c>
      <x:c r="N262" s="6" t="n">
        <x:v>0</x:v>
      </x:c>
      <x:c r="O262" s="6" t="n">
        <x:v>0</x:v>
      </x:c>
      <x:c r="P262" s="6" t="n">
        <x:v>0</x:v>
      </x:c>
      <x:c r="Q262" s="6" t="str">
        <x:v>top_level</x:v>
      </x:c>
      <x:c r="R262" s="6" t="str">
        <x:v>2025</x:v>
      </x:c>
      <x:c r="S262" s="6" t="str">
        <x:v>Sep_Oct</x:v>
      </x:c>
      <x:c r="T262" s="6" t="d">
        <x:v>2025-10-29T19:22:58.000Z</x:v>
      </x:c>
      <x:c r="U262" s="6" t="str">
        <x:v>RESEARCH_WORKSPACE/ResearchTools/SaSa_Comment_Collection/data/instagram_gap_batch/DPg7zL-DB7o_1792435122813044000.json</x:v>
      </x:c>
      <x:c r="V262" s="6" t="str">
        <x:v>RESEARCH_WORKSPACE/ResearchTools/SaSa_Comment_Collection/data/instagram_gap_batch/DPg7zL-DB7o_1792435122813044000_position_12.png</x:v>
      </x:c>
      <x:c r="W262" s="6" t="str">
        <x:v>information_request</x:v>
      </x:c>
      <x:c r="X262" s="6" t="str">
        <x:v>No explicit purchase intention or self-reported product purchase</x:v>
      </x:c>
      <x:c r="Y262" s="7" t="b">
        <x:v>0</x:v>
      </x:c>
    </x:row>
    <x:row r="263" ht="52" customHeight="1">
      <x:c r="A263" s="6" t="str">
        <x:v>instagram_18062114609174731</x:v>
      </x:c>
      <x:c r="B263" s="6" t="str">
        <x:v>instagram_DPg7zL-DB7o</x:v>
      </x:c>
      <x:c r="C263" s="6" t="str">
        <x:v>Instagram</x:v>
      </x:c>
      <x:c r="D263" s="6" t="str">
        <x:v>valid</x:v>
      </x:c>
      <x:c r="E263" s="6" t="str">
        <x:v>Those scars were so cool</x:v>
      </x:c>
      <x:c r="F263" s="6" t="str"/>
      <x:c r="G263" s="6" t="str">
        <x:v>Those scars were so cool</x:v>
      </x:c>
      <x:c r="H263" s="6" t="str">
        <x:v>Individual text review against saved DOM; screenshots confirm unexpanded top-level presentation. No purchases inferred.</x:v>
      </x:c>
      <x:c r="I263" s="6" t="n">
        <x:v>1</x:v>
      </x:c>
      <x:c r="J263" s="6" t="n">
        <x:v>0</x:v>
      </x:c>
      <x:c r="K263" s="6" t="n">
        <x:v>0</x:v>
      </x:c>
      <x:c r="L263" s="6" t="n">
        <x:v>0</x:v>
      </x:c>
      <x:c r="M263" s="6" t="n">
        <x:v>0</x:v>
      </x:c>
      <x:c r="N263" s="6" t="n">
        <x:v>0</x:v>
      </x:c>
      <x:c r="O263" s="6" t="n">
        <x:v>0</x:v>
      </x:c>
      <x:c r="P263" s="6" t="n">
        <x:v>0</x:v>
      </x:c>
      <x:c r="Q263" s="6" t="str">
        <x:v>top_level</x:v>
      </x:c>
      <x:c r="R263" s="6" t="str">
        <x:v>2025</x:v>
      </x:c>
      <x:c r="S263" s="6" t="str">
        <x:v>Sep_Oct</x:v>
      </x:c>
      <x:c r="T263" s="6" t="d">
        <x:v>2025-10-29T07:03:53.000Z</x:v>
      </x:c>
      <x:c r="U263" s="6" t="str">
        <x:v>RESEARCH_WORKSPACE/ResearchTools/SaSa_Comment_Collection/data/instagram_gap_batch/DPg7zL-DB7o_1792435122813044000.json</x:v>
      </x:c>
      <x:c r="V263" s="6" t="str">
        <x:v>RESEARCH_WORKSPACE/ResearchTools/SaSa_Comment_Collection/data/instagram_gap_batch/DPg7zL-DB7o_1792435122813044000_position_13.png</x:v>
      </x:c>
      <x:c r="W263" s="6" t="str">
        <x:v>praise_or_other</x:v>
      </x:c>
      <x:c r="X263" s="6" t="str">
        <x:v>No explicit purchase intention or self-reported product purchase</x:v>
      </x:c>
      <x:c r="Y263" s="7" t="b">
        <x:v>0</x:v>
      </x:c>
    </x:row>
    <x:row r="264" ht="52" customHeight="1">
      <x:c r="A264" s="6" t="str">
        <x:v>instagram_17912258433236081</x:v>
      </x:c>
      <x:c r="B264" s="6" t="str">
        <x:v>instagram_DPg7zL-DB7o</x:v>
      </x:c>
      <x:c r="C264" s="6" t="str">
        <x:v>Instagram</x:v>
      </x:c>
      <x:c r="D264" s="6" t="str">
        <x:v>unclear</x:v>
      </x:c>
      <x:c r="E264" s="6" t="str">
        <x:v>That spider!!!</x:v>
      </x:c>
      <x:c r="F264" s="6" t="str"/>
      <x:c r="G264" s="6" t="str"/>
      <x:c r="H264" s="6" t="str">
        <x:v>Bare or ambiguous exclamation; no definite makeup interpretation assigned.</x:v>
      </x:c>
      <x:c r="I264" s="6" t="n">
        <x:v>0</x:v>
      </x:c>
      <x:c r="J264" s="6" t="n">
        <x:v>0</x:v>
      </x:c>
      <x:c r="K264" s="6" t="n">
        <x:v>0</x:v>
      </x:c>
      <x:c r="L264" s="6" t="n">
        <x:v>0</x:v>
      </x:c>
      <x:c r="M264" s="6" t="n">
        <x:v>0</x:v>
      </x:c>
      <x:c r="N264" s="6" t="n">
        <x:v>0</x:v>
      </x:c>
      <x:c r="O264" s="6" t="n">
        <x:v>0</x:v>
      </x:c>
      <x:c r="P264" s="6" t="n">
        <x:v>0</x:v>
      </x:c>
      <x:c r="Q264" s="6" t="str">
        <x:v>top_level</x:v>
      </x:c>
      <x:c r="R264" s="6" t="str">
        <x:v>2025</x:v>
      </x:c>
      <x:c r="S264" s="6" t="str">
        <x:v>Sep_Oct</x:v>
      </x:c>
      <x:c r="T264" s="6" t="d">
        <x:v>2025-10-28T23:00:49.000Z</x:v>
      </x:c>
      <x:c r="U264" s="6" t="str">
        <x:v>RESEARCH_WORKSPACE/ResearchTools/SaSa_Comment_Collection/data/instagram_gap_batch/DPg7zL-DB7o_1792435122813044000.json</x:v>
      </x:c>
      <x:c r="V264" s="6" t="str">
        <x:v>RESEARCH_WORKSPACE/ResearchTools/SaSa_Comment_Collection/data/instagram_gap_batch/DPg7zL-DB7o_1792435122813044000_position_14.png</x:v>
      </x:c>
      <x:c r="W264" s="6" t="str">
        <x:v>praise_or_other</x:v>
      </x:c>
      <x:c r="X264" s="6" t="str">
        <x:v>No explicit purchase intention or self-reported product purchase</x:v>
      </x:c>
      <x:c r="Y264" s="7" t="b">
        <x:v>0</x:v>
      </x:c>
    </x:row>
    <x:row r="265" ht="52" customHeight="1">
      <x:c r="A265" s="6" t="str">
        <x:v>instagram_17997080750841342</x:v>
      </x:c>
      <x:c r="B265" s="6" t="str">
        <x:v>instagram_DPg7zL-DB7o</x:v>
      </x:c>
      <x:c r="C265" s="6" t="str">
        <x:v>Instagram</x:v>
      </x:c>
      <x:c r="D265" s="6" t="str">
        <x:v>valid</x:v>
      </x:c>
      <x:c r="E265" s="6" t="str">
        <x:v>I think those r not easy 😂</x:v>
      </x:c>
      <x:c r="F265" s="6" t="str"/>
      <x:c r="G265" s="6" t="str">
        <x:v>I think those r not easy 😂</x:v>
      </x:c>
      <x:c r="H265" s="6" t="str">
        <x:v>Explicit difficulty/skill concern contradicts universal ease claim; not a buying refusal.</x:v>
      </x:c>
      <x:c r="I265" s="6" t="n">
        <x:v>0</x:v>
      </x:c>
      <x:c r="J265" s="6" t="n">
        <x:v>1</x:v>
      </x:c>
      <x:c r="K265" s="6" t="n">
        <x:v>0</x:v>
      </x:c>
      <x:c r="L265" s="6" t="n">
        <x:v>0</x:v>
      </x:c>
      <x:c r="M265" s="6" t="n">
        <x:v>0</x:v>
      </x:c>
      <x:c r="N265" s="6" t="n">
        <x:v>0</x:v>
      </x:c>
      <x:c r="O265" s="6" t="n">
        <x:v>0</x:v>
      </x:c>
      <x:c r="P265" s="6" t="n">
        <x:v>0</x:v>
      </x:c>
      <x:c r="Q265" s="6" t="str">
        <x:v>top_level</x:v>
      </x:c>
      <x:c r="R265" s="6" t="str">
        <x:v>2025</x:v>
      </x:c>
      <x:c r="S265" s="6" t="str">
        <x:v>Sep_Oct</x:v>
      </x:c>
      <x:c r="T265" s="6" t="d">
        <x:v>2025-10-28T18:38:10.000Z</x:v>
      </x:c>
      <x:c r="U265" s="6" t="str">
        <x:v>RESEARCH_WORKSPACE/ResearchTools/SaSa_Comment_Collection/data/instagram_gap_batch/DPg7zL-DB7o_1792435122813044000.json</x:v>
      </x:c>
      <x:c r="V265" s="6" t="str">
        <x:v>RESEARCH_WORKSPACE/ResearchTools/SaSa_Comment_Collection/data/instagram_gap_batch/DPg7zL-DB7o_1792435122813044000_position_15.png</x:v>
      </x:c>
      <x:c r="W265" s="6" t="str">
        <x:v>difficulty_or_tutorial_feedback</x:v>
      </x:c>
      <x:c r="X265" s="6" t="str">
        <x:v>No explicit purchase intention or self-reported product purchase</x:v>
      </x:c>
      <x:c r="Y265" s="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c563ab125c4d3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8" hidden="0" customWidth="1"/>
    <x:col min="3" max="3" width="65" hidden="0" customWidth="1"/>
    <x:col min="4" max="4" width="25" hidden="0" customWidth="1"/>
    <x:col min="5" max="5" width="65" hidden="0" customWidth="1"/>
    <x:col min="6" max="6" width="42" hidden="0" customWidth="1"/>
    <x:col min="7" max="7" width="28" hidden="0" customWidth="1"/>
    <x:col min="8" max="8" width="65" hidden="0" customWidth="1"/>
    <x:col min="9" max="9" width="65" hidden="0" customWidth="1"/>
    <x:col min="10" max="10" width="15" hidden="0" customWidth="1"/>
    <x:col min="11" max="11" width="15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 ht="42" customHeight="1">
      <x:c r="A1" s="10" t="str">
        <x:v>Post ID</x:v>
      </x:c>
      <x:c r="B1" s="10" t="str">
        <x:v>Platform</x:v>
      </x:c>
      <x:c r="C1" s="10" t="str">
        <x:v>Title and selection basis</x:v>
      </x:c>
      <x:c r="D1" s="10" t="str">
        <x:v>Original post date</x:v>
      </x:c>
      <x:c r="E1" s="10" t="str">
        <x:v>Date and access note</x:v>
      </x:c>
      <x:c r="F1" s="10" t="str">
        <x:v>Method</x:v>
      </x:c>
      <x:c r="G1" s="10" t="str">
        <x:v>Geographic context</x:v>
      </x:c>
      <x:c r="H1" s="10" t="str">
        <x:v>Evidence source</x:v>
      </x:c>
      <x:c r="I1" s="10" t="str">
        <x:v>Post URL</x:v>
      </x:c>
      <x:c r="J1" s="10" t="str">
        <x:v>Raw retained</x:v>
      </x:c>
      <x:c r="K1" s="10" t="str">
        <x:v>Valid</x:v>
      </x:c>
      <x:c r="L1" s="10" t="str">
        <x:v>T1</x:v>
      </x:c>
      <x:c r="M1" s="10" t="str">
        <x:v>T2</x:v>
      </x:c>
      <x:c r="N1" s="10" t="str">
        <x:v>T3</x:v>
      </x:c>
      <x:c r="O1" s="10" t="str">
        <x:v>T4</x:v>
      </x:c>
      <x:c r="P1" s="10" t="str">
        <x:v>T5</x:v>
      </x:c>
      <x:c r="Q1" s="10" t="str">
        <x:v>T6</x:v>
      </x:c>
      <x:c r="R1" s="10" t="str">
        <x:v>T7</x:v>
      </x:c>
      <x:c r="S1" s="10" t="str">
        <x:v>T8</x:v>
      </x:c>
    </x:row>
    <x:row r="2" ht="38" customHeight="1">
      <x:c r="A2" s="6" t="str">
        <x:v>XHS_P01</x:v>
      </x:c>
      <x:c r="B2" s="6" t="str">
        <x:v>Xiaohongshu</x:v>
      </x:c>
      <x:c r="C2" s="6" t="str">
        <x:v>🎃 香港万圣节限定妆造上门约妆</x:v>
      </x:c>
      <x:c r="D2" s="6" t="str">
        <x:v>unknown</x:v>
      </x:c>
      <x:c r="E2" s="6" t="str">
        <x:v>09-18</x:v>
      </x:c>
      <x:c r="F2" s="6" t="str">
        <x:v>Browser-visible accessibility text; manually transcribed and reviewed</x:v>
      </x:c>
      <x:c r="G2" s="6" t="str">
        <x:v>confirmed_post_context</x:v>
      </x:c>
      <x:c r="H2" s="6" t="str">
        <x:v>RESEARCH_WORKSPACE/Outputs/SaSa_Section_2_2/support/browser_evidence/XHS_P01_full.txt</x:v>
      </x:c>
      <x:c r="I2" s="6" t="str">
        <x:v>https://www.xiaohongshu.com/explore/6aad0c710000000026008cfa</x:v>
      </x:c>
      <x:c r="J2" s="6" t="n">
        <x:v>24</x:v>
      </x:c>
      <x:c r="K2" s="6" t="n">
        <x:f>COUNTIFS('Coded_Comments'!$B$2:$B$265,A2,'Coded_Comments'!$D$2:$D$265,"valid")</x:f>
        <x:v>11</x:v>
      </x:c>
      <x:c r="L2" s="6" t="n">
        <x:f>COUNTIFS('Coded_Comments'!$B$2:$B$265,A2,'Coded_Comments'!$D$2:$D$265,"valid",'Coded_Comments'!$I$2:$I$265,1)</x:f>
        <x:v>1</x:v>
      </x:c>
      <x:c r="M2" s="6" t="n">
        <x:f>COUNTIFS('Coded_Comments'!$B$2:$B$265,A2,'Coded_Comments'!$D$2:$D$265,"valid",'Coded_Comments'!$J$2:$J$265,1)</x:f>
        <x:v>0</x:v>
      </x:c>
      <x:c r="N2" s="6" t="n">
        <x:f>COUNTIFS('Coded_Comments'!$B$2:$B$265,A2,'Coded_Comments'!$D$2:$D$265,"valid",'Coded_Comments'!$K$2:$K$265,1)</x:f>
        <x:v>0</x:v>
      </x:c>
      <x:c r="O2" s="6" t="n">
        <x:f>COUNTIFS('Coded_Comments'!$B$2:$B$265,A2,'Coded_Comments'!$D$2:$D$265,"valid",'Coded_Comments'!$L$2:$L$265,1)</x:f>
        <x:v>7</x:v>
      </x:c>
      <x:c r="P2" s="6" t="n">
        <x:f>COUNTIFS('Coded_Comments'!$B$2:$B$265,A2,'Coded_Comments'!$D$2:$D$265,"valid",'Coded_Comments'!$M$2:$M$265,1)</x:f>
        <x:v>0</x:v>
      </x:c>
      <x:c r="Q2" s="6" t="n">
        <x:f>COUNTIFS('Coded_Comments'!$B$2:$B$265,A2,'Coded_Comments'!$D$2:$D$265,"valid",'Coded_Comments'!$N$2:$N$265,1)</x:f>
        <x:v>0</x:v>
      </x:c>
      <x:c r="R2" s="6" t="n">
        <x:f>COUNTIFS('Coded_Comments'!$B$2:$B$265,A2,'Coded_Comments'!$D$2:$D$265,"valid",'Coded_Comments'!$O$2:$O$265,1)</x:f>
        <x:v>0</x:v>
      </x:c>
      <x:c r="S2" s="6" t="n">
        <x:f>COUNTIFS('Coded_Comments'!$B$2:$B$265,A2,'Coded_Comments'!$D$2:$D$265,"valid",'Coded_Comments'!$P$2:$P$265,1)</x:f>
        <x:v>6</x:v>
      </x:c>
    </x:row>
    <x:row r="3" ht="38" customHeight="1">
      <x:c r="A3" s="6" t="str">
        <x:v>XHS_P02</x:v>
      </x:c>
      <x:c r="B3" s="6" t="str">
        <x:v>Xiaohongshu</x:v>
      </x:c>
      <x:c r="C3" s="6" t="str">
        <x:v>港迪园区画万圣节妆容值得吗？</x:v>
      </x:c>
      <x:c r="D3" s="6" t="str">
        <x:v>unknown</x:v>
      </x:c>
      <x:c r="E3" s="6" t="str">
        <x:v>10-04</x:v>
      </x:c>
      <x:c r="F3" s="6" t="str">
        <x:v>Browser-visible accessibility text; manually transcribed and reviewed</x:v>
      </x:c>
      <x:c r="G3" s="6" t="str">
        <x:v>confirmed_post_context</x:v>
      </x:c>
      <x:c r="H3" s="6" t="str">
        <x:v>RESEARCH_WORKSPACE/Outputs/SaSa_Section_2_2/support/browser_evidence/XHS_P02_full.txt</x:v>
      </x:c>
      <x:c r="I3" s="6" t="str">
        <x:v>https://www.xiaohongshu.com/explore/6ac1ca9f000000000200cda8</x:v>
      </x:c>
      <x:c r="J3" s="6" t="n">
        <x:v>5</x:v>
      </x:c>
      <x:c r="K3" s="6" t="n">
        <x:f>COUNTIFS('Coded_Comments'!$B$2:$B$265,A3,'Coded_Comments'!$D$2:$D$265,"valid")</x:f>
        <x:v>1</x:v>
      </x:c>
      <x:c r="L3" s="6" t="n">
        <x:f>COUNTIFS('Coded_Comments'!$B$2:$B$265,A3,'Coded_Comments'!$D$2:$D$265,"valid",'Coded_Comments'!$I$2:$I$265,1)</x:f>
        <x:v>0</x:v>
      </x:c>
      <x:c r="M3" s="6" t="n">
        <x:f>COUNTIFS('Coded_Comments'!$B$2:$B$265,A3,'Coded_Comments'!$D$2:$D$265,"valid",'Coded_Comments'!$J$2:$J$265,1)</x:f>
        <x:v>0</x:v>
      </x:c>
      <x:c r="N3" s="6" t="n">
        <x:f>COUNTIFS('Coded_Comments'!$B$2:$B$265,A3,'Coded_Comments'!$D$2:$D$265,"valid",'Coded_Comments'!$K$2:$K$265,1)</x:f>
        <x:v>0</x:v>
      </x:c>
      <x:c r="O3" s="6" t="n">
        <x:f>COUNTIFS('Coded_Comments'!$B$2:$B$265,A3,'Coded_Comments'!$D$2:$D$265,"valid",'Coded_Comments'!$L$2:$L$265,1)</x:f>
        <x:v>0</x:v>
      </x:c>
      <x:c r="P3" s="6" t="n">
        <x:f>COUNTIFS('Coded_Comments'!$B$2:$B$265,A3,'Coded_Comments'!$D$2:$D$265,"valid",'Coded_Comments'!$M$2:$M$265,1)</x:f>
        <x:v>0</x:v>
      </x:c>
      <x:c r="Q3" s="6" t="n">
        <x:f>COUNTIFS('Coded_Comments'!$B$2:$B$265,A3,'Coded_Comments'!$D$2:$D$265,"valid",'Coded_Comments'!$N$2:$N$265,1)</x:f>
        <x:v>0</x:v>
      </x:c>
      <x:c r="R3" s="6" t="n">
        <x:f>COUNTIFS('Coded_Comments'!$B$2:$B$265,A3,'Coded_Comments'!$D$2:$D$265,"valid",'Coded_Comments'!$O$2:$O$265,1)</x:f>
        <x:v>0</x:v>
      </x:c>
      <x:c r="S3" s="6" t="n">
        <x:f>COUNTIFS('Coded_Comments'!$B$2:$B$265,A3,'Coded_Comments'!$D$2:$D$265,"valid",'Coded_Comments'!$P$2:$P$265,1)</x:f>
        <x:v>1</x:v>
      </x:c>
    </x:row>
    <x:row r="4" ht="38" customHeight="1">
      <x:c r="A4" s="6" t="str">
        <x:v>XHS_P03</x:v>
      </x:c>
      <x:c r="B4" s="6" t="str">
        <x:v>Xiaohongshu</x:v>
      </x:c>
      <x:c r="C4" s="6" t="str">
        <x:v>為了萬聖節第一次嘗試黑色口紅</x:v>
      </x:c>
      <x:c r="D4" s="6" t="str">
        <x:v>2025-10-31</x:v>
      </x:c>
      <x:c r="E4" s="6" t="str">
        <x:v>2025-10-31</x:v>
      </x:c>
      <x:c r="F4" s="6" t="str">
        <x:v>Browser-rendered DOM text; manually transcribed and reviewed</x:v>
      </x:c>
      <x:c r="G4" s="6" t="str">
        <x:v>general_reference</x:v>
      </x:c>
      <x:c r="H4" s="6" t="str">
        <x:v>RESEARCH_WORKSPACE/Outputs/SaSa_Section_2_2/support/browser_evidence/XHS_P03_full.txt</x:v>
      </x:c>
      <x:c r="I4" s="6" t="str">
        <x:v>https://www.xiaohongshu.com/explore/6903aff40000000007021f33</x:v>
      </x:c>
      <x:c r="J4" s="6" t="n">
        <x:v>1</x:v>
      </x:c>
      <x:c r="K4" s="6" t="n">
        <x:f>COUNTIFS('Coded_Comments'!$B$2:$B$265,A4,'Coded_Comments'!$D$2:$D$265,"valid")</x:f>
        <x:v>1</x:v>
      </x:c>
      <x:c r="L4" s="6" t="n">
        <x:f>COUNTIFS('Coded_Comments'!$B$2:$B$265,A4,'Coded_Comments'!$D$2:$D$265,"valid",'Coded_Comments'!$I$2:$I$265,1)</x:f>
        <x:v>1</x:v>
      </x:c>
      <x:c r="M4" s="6" t="n">
        <x:f>COUNTIFS('Coded_Comments'!$B$2:$B$265,A4,'Coded_Comments'!$D$2:$D$265,"valid",'Coded_Comments'!$J$2:$J$265,1)</x:f>
        <x:v>0</x:v>
      </x:c>
      <x:c r="N4" s="6" t="n">
        <x:f>COUNTIFS('Coded_Comments'!$B$2:$B$265,A4,'Coded_Comments'!$D$2:$D$265,"valid",'Coded_Comments'!$K$2:$K$265,1)</x:f>
        <x:v>0</x:v>
      </x:c>
      <x:c r="O4" s="6" t="n">
        <x:f>COUNTIFS('Coded_Comments'!$B$2:$B$265,A4,'Coded_Comments'!$D$2:$D$265,"valid",'Coded_Comments'!$L$2:$L$265,1)</x:f>
        <x:v>0</x:v>
      </x:c>
      <x:c r="P4" s="6" t="n">
        <x:f>COUNTIFS('Coded_Comments'!$B$2:$B$265,A4,'Coded_Comments'!$D$2:$D$265,"valid",'Coded_Comments'!$M$2:$M$265,1)</x:f>
        <x:v>0</x:v>
      </x:c>
      <x:c r="Q4" s="6" t="n">
        <x:f>COUNTIFS('Coded_Comments'!$B$2:$B$265,A4,'Coded_Comments'!$D$2:$D$265,"valid",'Coded_Comments'!$N$2:$N$265,1)</x:f>
        <x:v>0</x:v>
      </x:c>
      <x:c r="R4" s="6" t="n">
        <x:f>COUNTIFS('Coded_Comments'!$B$2:$B$265,A4,'Coded_Comments'!$D$2:$D$265,"valid",'Coded_Comments'!$O$2:$O$265,1)</x:f>
        <x:v>0</x:v>
      </x:c>
      <x:c r="S4" s="6" t="n">
        <x:f>COUNTIFS('Coded_Comments'!$B$2:$B$265,A4,'Coded_Comments'!$D$2:$D$265,"valid",'Coded_Comments'!$P$2:$P$265,1)</x:f>
        <x:v>0</x:v>
      </x:c>
    </x:row>
    <x:row r="5" ht="38" customHeight="1">
      <x:c r="A5" s="6" t="str">
        <x:v>XHS_P04</x:v>
      </x:c>
      <x:c r="B5" s="6" t="str">
        <x:v>Xiaohongshu</x:v>
      </x:c>
      <x:c r="C5" s="6" t="str">
        <x:v>普通人也能画出来的万圣节妆容教程来咯！</x:v>
      </x:c>
      <x:c r="D5" s="6" t="str">
        <x:v>unknown</x:v>
      </x:c>
      <x:c r="E5" s="6" t="str">
        <x:v>1天前</x:v>
      </x:c>
      <x:c r="F5" s="6" t="str">
        <x:v>Browser-visible accessibility text; manually transcribed and reviewed</x:v>
      </x:c>
      <x:c r="G5" s="6" t="str">
        <x:v>general_reference</x:v>
      </x:c>
      <x:c r="H5" s="6" t="str">
        <x:v>RESEARCH_WORKSPACE/Outputs/SaSa_Section_2_2/support/browser_evidence/XHS_P04_initial.txt</x:v>
      </x:c>
      <x:c r="I5" s="6" t="str">
        <x:v>https://www.xiaohongshu.com/explore/6ad35b09000000000a01eb29</x:v>
      </x:c>
      <x:c r="J5" s="6" t="n">
        <x:v>0</x:v>
      </x:c>
      <x:c r="K5" s="6" t="n">
        <x:f>COUNTIFS('Coded_Comments'!$B$2:$B$265,A5,'Coded_Comments'!$D$2:$D$265,"valid")</x:f>
        <x:v>0</x:v>
      </x:c>
      <x:c r="L5" s="6" t="n">
        <x:f>COUNTIFS('Coded_Comments'!$B$2:$B$265,A5,'Coded_Comments'!$D$2:$D$265,"valid",'Coded_Comments'!$I$2:$I$265,1)</x:f>
        <x:v>0</x:v>
      </x:c>
      <x:c r="M5" s="6" t="n">
        <x:f>COUNTIFS('Coded_Comments'!$B$2:$B$265,A5,'Coded_Comments'!$D$2:$D$265,"valid",'Coded_Comments'!$J$2:$J$265,1)</x:f>
        <x:v>0</x:v>
      </x:c>
      <x:c r="N5" s="6" t="n">
        <x:f>COUNTIFS('Coded_Comments'!$B$2:$B$265,A5,'Coded_Comments'!$D$2:$D$265,"valid",'Coded_Comments'!$K$2:$K$265,1)</x:f>
        <x:v>0</x:v>
      </x:c>
      <x:c r="O5" s="6" t="n">
        <x:f>COUNTIFS('Coded_Comments'!$B$2:$B$265,A5,'Coded_Comments'!$D$2:$D$265,"valid",'Coded_Comments'!$L$2:$L$265,1)</x:f>
        <x:v>0</x:v>
      </x:c>
      <x:c r="P5" s="6" t="n">
        <x:f>COUNTIFS('Coded_Comments'!$B$2:$B$265,A5,'Coded_Comments'!$D$2:$D$265,"valid",'Coded_Comments'!$M$2:$M$265,1)</x:f>
        <x:v>0</x:v>
      </x:c>
      <x:c r="Q5" s="6" t="n">
        <x:f>COUNTIFS('Coded_Comments'!$B$2:$B$265,A5,'Coded_Comments'!$D$2:$D$265,"valid",'Coded_Comments'!$N$2:$N$265,1)</x:f>
        <x:v>0</x:v>
      </x:c>
      <x:c r="R5" s="6" t="n">
        <x:f>COUNTIFS('Coded_Comments'!$B$2:$B$265,A5,'Coded_Comments'!$D$2:$D$265,"valid",'Coded_Comments'!$O$2:$O$265,1)</x:f>
        <x:v>0</x:v>
      </x:c>
      <x:c r="S5" s="6" t="n">
        <x:f>COUNTIFS('Coded_Comments'!$B$2:$B$265,A5,'Coded_Comments'!$D$2:$D$265,"valid",'Coded_Comments'!$P$2:$P$265,1)</x:f>
        <x:v>0</x:v>
      </x:c>
    </x:row>
    <x:row r="6" ht="38" customHeight="1">
      <x:c r="A6" s="6" t="str">
        <x:v>XHS_P05</x:v>
      </x:c>
      <x:c r="B6" s="6" t="str">
        <x:v>Xiaohongshu</x:v>
      </x:c>
      <x:c r="C6" s="6" t="str">
        <x:v>☠️丧系doll感妆容教程和调色教程来啦！</x:v>
      </x:c>
      <x:c r="D6" s="6" t="str">
        <x:v>unknown</x:v>
      </x:c>
      <x:c r="E6" s="6" t="str">
        <x:v>6天前</x:v>
      </x:c>
      <x:c r="F6" s="6" t="str">
        <x:v>Browser-visible accessibility text; manually transcribed and reviewed</x:v>
      </x:c>
      <x:c r="G6" s="6" t="str">
        <x:v>general_reference</x:v>
      </x:c>
      <x:c r="H6" s="6" t="str">
        <x:v>RESEARCH_WORKSPACE/Outputs/SaSa_Section_2_2/support/browser_evidence/XHS_P05_full.txt</x:v>
      </x:c>
      <x:c r="I6" s="6" t="str">
        <x:v>https://www.xiaohongshu.com/explore/6ace0374000000001801a7e2</x:v>
      </x:c>
      <x:c r="J6" s="6" t="n">
        <x:v>16</x:v>
      </x:c>
      <x:c r="K6" s="6" t="n">
        <x:f>COUNTIFS('Coded_Comments'!$B$2:$B$265,A6,'Coded_Comments'!$D$2:$D$265,"valid")</x:f>
        <x:v>9</x:v>
      </x:c>
      <x:c r="L6" s="6" t="n">
        <x:f>COUNTIFS('Coded_Comments'!$B$2:$B$265,A6,'Coded_Comments'!$D$2:$D$265,"valid",'Coded_Comments'!$I$2:$I$265,1)</x:f>
        <x:v>3</x:v>
      </x:c>
      <x:c r="M6" s="6" t="n">
        <x:f>COUNTIFS('Coded_Comments'!$B$2:$B$265,A6,'Coded_Comments'!$D$2:$D$265,"valid",'Coded_Comments'!$J$2:$J$265,1)</x:f>
        <x:v>0</x:v>
      </x:c>
      <x:c r="N6" s="6" t="n">
        <x:f>COUNTIFS('Coded_Comments'!$B$2:$B$265,A6,'Coded_Comments'!$D$2:$D$265,"valid",'Coded_Comments'!$K$2:$K$265,1)</x:f>
        <x:v>3</x:v>
      </x:c>
      <x:c r="O6" s="6" t="n">
        <x:f>COUNTIFS('Coded_Comments'!$B$2:$B$265,A6,'Coded_Comments'!$D$2:$D$265,"valid",'Coded_Comments'!$L$2:$L$265,1)</x:f>
        <x:v>0</x:v>
      </x:c>
      <x:c r="P6" s="6" t="n">
        <x:f>COUNTIFS('Coded_Comments'!$B$2:$B$265,A6,'Coded_Comments'!$D$2:$D$265,"valid",'Coded_Comments'!$M$2:$M$265,1)</x:f>
        <x:v>0</x:v>
      </x:c>
      <x:c r="Q6" s="6" t="n">
        <x:f>COUNTIFS('Coded_Comments'!$B$2:$B$265,A6,'Coded_Comments'!$D$2:$D$265,"valid",'Coded_Comments'!$N$2:$N$265,1)</x:f>
        <x:v>0</x:v>
      </x:c>
      <x:c r="R6" s="6" t="n">
        <x:f>COUNTIFS('Coded_Comments'!$B$2:$B$265,A6,'Coded_Comments'!$D$2:$D$265,"valid",'Coded_Comments'!$O$2:$O$265,1)</x:f>
        <x:v>0</x:v>
      </x:c>
      <x:c r="S6" s="6" t="n">
        <x:f>COUNTIFS('Coded_Comments'!$B$2:$B$265,A6,'Coded_Comments'!$D$2:$D$265,"valid",'Coded_Comments'!$P$2:$P$265,1)</x:f>
        <x:v>4</x:v>
      </x:c>
    </x:row>
    <x:row r="7" ht="38" customHeight="1">
      <x:c r="A7" s="6" t="str">
        <x:v>XHS_P06</x:v>
      </x:c>
      <x:c r="B7" s="6" t="str">
        <x:v>Xiaohongshu</x:v>
      </x:c>
      <x:c r="C7" s="6" t="str">
        <x:v>新手也能学的万圣妆容！几乎不需要化妆刷！</x:v>
      </x:c>
      <x:c r="D7" s="6" t="str">
        <x:v>unknown</x:v>
      </x:c>
      <x:c r="E7" s="6" t="str">
        <x:v>编辑于 10-04 (edit date; year unknown)</x:v>
      </x:c>
      <x:c r="F7" s="6" t="str">
        <x:v>Browser-rendered DOM text; manually transcribed and reviewed</x:v>
      </x:c>
      <x:c r="G7" s="6" t="str">
        <x:v>general_reference</x:v>
      </x:c>
      <x:c r="H7" s="6" t="str">
        <x:v>RESEARCH_WORKSPACE/Outputs/SaSa_Section_2_2/support/browser_evidence/XHS_P06_dom.txt</x:v>
      </x:c>
      <x:c r="I7" s="6" t="str">
        <x:v>https://www.xiaohongshu.com/explore/6ac0efb3000000001803bbbd</x:v>
      </x:c>
      <x:c r="J7" s="6" t="n">
        <x:v>26</x:v>
      </x:c>
      <x:c r="K7" s="6" t="n">
        <x:f>COUNTIFS('Coded_Comments'!$B$2:$B$265,A7,'Coded_Comments'!$D$2:$D$265,"valid")</x:f>
        <x:v>14</x:v>
      </x:c>
      <x:c r="L7" s="6" t="n">
        <x:f>COUNTIFS('Coded_Comments'!$B$2:$B$265,A7,'Coded_Comments'!$D$2:$D$265,"valid",'Coded_Comments'!$I$2:$I$265,1)</x:f>
        <x:v>5</x:v>
      </x:c>
      <x:c r="M7" s="6" t="n">
        <x:f>COUNTIFS('Coded_Comments'!$B$2:$B$265,A7,'Coded_Comments'!$D$2:$D$265,"valid",'Coded_Comments'!$J$2:$J$265,1)</x:f>
        <x:v>3</x:v>
      </x:c>
      <x:c r="N7" s="6" t="n">
        <x:f>COUNTIFS('Coded_Comments'!$B$2:$B$265,A7,'Coded_Comments'!$D$2:$D$265,"valid",'Coded_Comments'!$K$2:$K$265,1)</x:f>
        <x:v>3</x:v>
      </x:c>
      <x:c r="O7" s="6" t="n">
        <x:f>COUNTIFS('Coded_Comments'!$B$2:$B$265,A7,'Coded_Comments'!$D$2:$D$265,"valid",'Coded_Comments'!$L$2:$L$265,1)</x:f>
        <x:v>0</x:v>
      </x:c>
      <x:c r="P7" s="6" t="n">
        <x:f>COUNTIFS('Coded_Comments'!$B$2:$B$265,A7,'Coded_Comments'!$D$2:$D$265,"valid",'Coded_Comments'!$M$2:$M$265,1)</x:f>
        <x:v>0</x:v>
      </x:c>
      <x:c r="Q7" s="6" t="n">
        <x:f>COUNTIFS('Coded_Comments'!$B$2:$B$265,A7,'Coded_Comments'!$D$2:$D$265,"valid",'Coded_Comments'!$N$2:$N$265,1)</x:f>
        <x:v>0</x:v>
      </x:c>
      <x:c r="R7" s="6" t="n">
        <x:f>COUNTIFS('Coded_Comments'!$B$2:$B$265,A7,'Coded_Comments'!$D$2:$D$265,"valid",'Coded_Comments'!$O$2:$O$265,1)</x:f>
        <x:v>1</x:v>
      </x:c>
      <x:c r="S7" s="6" t="n">
        <x:f>COUNTIFS('Coded_Comments'!$B$2:$B$265,A7,'Coded_Comments'!$D$2:$D$265,"valid",'Coded_Comments'!$P$2:$P$265,1)</x:f>
        <x:v>8</x:v>
      </x:c>
    </x:row>
    <x:row r="8" ht="66" customHeight="1">
      <x:c r="A8" s="6" t="str">
        <x:v>IG_P01</x:v>
      </x:c>
      <x:c r="B8" s="6" t="str">
        <x:v>Instagram</x:v>
      </x:c>
      <x:c r="C8" s="6" t="str">
        <x:v>Karen Yeung spider-inspired Halloween makeup tutorial for Vogue Hong Kong</x:v>
      </x:c>
      <x:c r="D8" s="6" t="str">
        <x:v>2024-10-28</x:v>
      </x:c>
      <x:c r="E8" s="6" t="str">
        <x:v>Public HTML metadata: October 28, 2024; saved browser comment excerpt does not contain full post date | Prior date 2024-10-28 versus API 2024-10-29 unresolved; both October 2024.</x:v>
      </x:c>
      <x:c r="F8" s="6" t="str">
        <x:v>Browser-visible accessibility text; manually transcribed and reviewed</x:v>
      </x:c>
      <x:c r="G8" s="6" t="str">
        <x:v>confirmed_post_context</x:v>
      </x:c>
      <x:c r="H8" s="6" t="str">
        <x:v>RESEARCH_WORKSPACE/Outputs/SaSa_Section_2_2/support/browser_evidence/IG_P01_comments.txt</x:v>
      </x:c>
      <x:c r="I8" s="6" t="str">
        <x:v>https://www.instagram.com/reel/DBsunJ9SSmy/</x:v>
      </x:c>
      <x:c r="J8" s="6" t="n">
        <x:v>7</x:v>
      </x:c>
      <x:c r="K8" s="6" t="n">
        <x:f>COUNTIFS('Coded_Comments'!$B$2:$B$265,A8,'Coded_Comments'!$D$2:$D$265,"valid")</x:f>
        <x:v>3</x:v>
      </x:c>
      <x:c r="L8" s="6" t="n">
        <x:f>COUNTIFS('Coded_Comments'!$B$2:$B$265,A8,'Coded_Comments'!$D$2:$D$265,"valid",'Coded_Comments'!$I$2:$I$265,1)</x:f>
        <x:v>3</x:v>
      </x:c>
      <x:c r="M8" s="6" t="n">
        <x:f>COUNTIFS('Coded_Comments'!$B$2:$B$265,A8,'Coded_Comments'!$D$2:$D$265,"valid",'Coded_Comments'!$J$2:$J$265,1)</x:f>
        <x:v>0</x:v>
      </x:c>
      <x:c r="N8" s="6" t="n">
        <x:f>COUNTIFS('Coded_Comments'!$B$2:$B$265,A8,'Coded_Comments'!$D$2:$D$265,"valid",'Coded_Comments'!$K$2:$K$265,1)</x:f>
        <x:v>0</x:v>
      </x:c>
      <x:c r="O8" s="6" t="n">
        <x:f>COUNTIFS('Coded_Comments'!$B$2:$B$265,A8,'Coded_Comments'!$D$2:$D$265,"valid",'Coded_Comments'!$L$2:$L$265,1)</x:f>
        <x:v>0</x:v>
      </x:c>
      <x:c r="P8" s="6" t="n">
        <x:f>COUNTIFS('Coded_Comments'!$B$2:$B$265,A8,'Coded_Comments'!$D$2:$D$265,"valid",'Coded_Comments'!$M$2:$M$265,1)</x:f>
        <x:v>0</x:v>
      </x:c>
      <x:c r="Q8" s="6" t="n">
        <x:f>COUNTIFS('Coded_Comments'!$B$2:$B$265,A8,'Coded_Comments'!$D$2:$D$265,"valid",'Coded_Comments'!$N$2:$N$265,1)</x:f>
        <x:v>0</x:v>
      </x:c>
      <x:c r="R8" s="6" t="n">
        <x:f>COUNTIFS('Coded_Comments'!$B$2:$B$265,A8,'Coded_Comments'!$D$2:$D$265,"valid",'Coded_Comments'!$O$2:$O$265,1)</x:f>
        <x:v>0</x:v>
      </x:c>
      <x:c r="S8" s="6" t="n">
        <x:f>COUNTIFS('Coded_Comments'!$B$2:$B$265,A8,'Coded_Comments'!$D$2:$D$265,"valid",'Coded_Comments'!$P$2:$P$265,1)</x:f>
        <x:v>0</x:v>
      </x:c>
    </x:row>
    <x:row r="9" ht="52" customHeight="1">
      <x:c r="A9" s="6" t="str">
        <x:v>IG_P02</x:v>
      </x:c>
      <x:c r="B9" s="6" t="str">
        <x:v>Instagram</x:v>
      </x:c>
      <x:c r="C9" s="6" t="str">
        <x:v>r.e.m. beauty Wicked collection launch featuring Ariana Grande</x:v>
      </x:c>
      <x:c r="D9" s="6" t="str">
        <x:v>2024-10-01</x:v>
      </x:c>
      <x:c r="E9" s="6" t="str">
        <x:v>Browser: 1 October 2024; public HTML metadata: September 30, 2024 (one-day discrepancy retained; timezone not explicitly verified)</x:v>
      </x:c>
      <x:c r="F9" s="6" t="str">
        <x:v>Browser-visible accessibility text; manually transcribed and reviewed</x:v>
      </x:c>
      <x:c r="G9" s="6" t="str">
        <x:v>general_reference</x:v>
      </x:c>
      <x:c r="H9" s="6" t="str">
        <x:v>RESEARCH_WORKSPACE/Outputs/SaSa_Section_2_2/support/browser_evidence/IG_P02_initial.txt</x:v>
      </x:c>
      <x:c r="I9" s="6" t="str">
        <x:v>https://www.instagram.com/p/DAkUGZYpazx/</x:v>
      </x:c>
      <x:c r="J9" s="6" t="n">
        <x:v>12</x:v>
      </x:c>
      <x:c r="K9" s="6" t="n">
        <x:f>COUNTIFS('Coded_Comments'!$B$2:$B$265,A9,'Coded_Comments'!$D$2:$D$265,"valid")</x:f>
        <x:v>0</x:v>
      </x:c>
      <x:c r="L9" s="6" t="n">
        <x:f>COUNTIFS('Coded_Comments'!$B$2:$B$265,A9,'Coded_Comments'!$D$2:$D$265,"valid",'Coded_Comments'!$I$2:$I$265,1)</x:f>
        <x:v>0</x:v>
      </x:c>
      <x:c r="M9" s="6" t="n">
        <x:f>COUNTIFS('Coded_Comments'!$B$2:$B$265,A9,'Coded_Comments'!$D$2:$D$265,"valid",'Coded_Comments'!$J$2:$J$265,1)</x:f>
        <x:v>0</x:v>
      </x:c>
      <x:c r="N9" s="6" t="n">
        <x:f>COUNTIFS('Coded_Comments'!$B$2:$B$265,A9,'Coded_Comments'!$D$2:$D$265,"valid",'Coded_Comments'!$K$2:$K$265,1)</x:f>
        <x:v>0</x:v>
      </x:c>
      <x:c r="O9" s="6" t="n">
        <x:f>COUNTIFS('Coded_Comments'!$B$2:$B$265,A9,'Coded_Comments'!$D$2:$D$265,"valid",'Coded_Comments'!$L$2:$L$265,1)</x:f>
        <x:v>0</x:v>
      </x:c>
      <x:c r="P9" s="6" t="n">
        <x:f>COUNTIFS('Coded_Comments'!$B$2:$B$265,A9,'Coded_Comments'!$D$2:$D$265,"valid",'Coded_Comments'!$M$2:$M$265,1)</x:f>
        <x:v>0</x:v>
      </x:c>
      <x:c r="Q9" s="6" t="n">
        <x:f>COUNTIFS('Coded_Comments'!$B$2:$B$265,A9,'Coded_Comments'!$D$2:$D$265,"valid",'Coded_Comments'!$N$2:$N$265,1)</x:f>
        <x:v>0</x:v>
      </x:c>
      <x:c r="R9" s="6" t="n">
        <x:f>COUNTIFS('Coded_Comments'!$B$2:$B$265,A9,'Coded_Comments'!$D$2:$D$265,"valid",'Coded_Comments'!$O$2:$O$265,1)</x:f>
        <x:v>0</x:v>
      </x:c>
      <x:c r="S9" s="6" t="n">
        <x:f>COUNTIFS('Coded_Comments'!$B$2:$B$265,A9,'Coded_Comments'!$D$2:$D$265,"valid",'Coded_Comments'!$P$2:$P$265,1)</x:f>
        <x:v>0</x:v>
      </x:c>
    </x:row>
    <x:row r="10" ht="52" customHeight="1">
      <x:c r="A10" s="6" t="str">
        <x:v>IG_P03</x:v>
      </x:c>
      <x:c r="B10" s="6" t="str">
        <x:v>Instagram</x:v>
      </x:c>
      <x:c r="C10" s="6" t="str">
        <x:v>Beetlejuice Halloween makeup look</x:v>
      </x:c>
      <x:c r="D10" s="6" t="str">
        <x:v>2024-10-02</x:v>
      </x:c>
      <x:c r="E10" s="6" t="str">
        <x:v>Browser: 2 October 2024; public HTML metadata: October 1, 2024 (one-day discrepancy retained; source timezone not explicitly verified)</x:v>
      </x:c>
      <x:c r="F10" s="6" t="str">
        <x:v>Browser DOM snapshot; manually transcribed and reviewed</x:v>
      </x:c>
      <x:c r="G10" s="6" t="str">
        <x:v>general_reference</x:v>
      </x:c>
      <x:c r="H10" s="6" t="str">
        <x:v>RESEARCH_WORKSPACE/Outputs/SaSa_Section_2_2/support/browser_evidence/IG_P03_full.txt</x:v>
      </x:c>
      <x:c r="I10" s="6" t="str">
        <x:v>https://www.instagram.com/p/DAmZYfus0fa/</x:v>
      </x:c>
      <x:c r="J10" s="6" t="n">
        <x:v>15</x:v>
      </x:c>
      <x:c r="K10" s="6" t="n">
        <x:f>COUNTIFS('Coded_Comments'!$B$2:$B$265,A10,'Coded_Comments'!$D$2:$D$265,"valid")</x:f>
        <x:v>7</x:v>
      </x:c>
      <x:c r="L10" s="6" t="n">
        <x:f>COUNTIFS('Coded_Comments'!$B$2:$B$265,A10,'Coded_Comments'!$D$2:$D$265,"valid",'Coded_Comments'!$I$2:$I$265,1)</x:f>
        <x:v>6</x:v>
      </x:c>
      <x:c r="M10" s="6" t="n">
        <x:f>COUNTIFS('Coded_Comments'!$B$2:$B$265,A10,'Coded_Comments'!$D$2:$D$265,"valid",'Coded_Comments'!$J$2:$J$265,1)</x:f>
        <x:v>0</x:v>
      </x:c>
      <x:c r="N10" s="6" t="n">
        <x:f>COUNTIFS('Coded_Comments'!$B$2:$B$265,A10,'Coded_Comments'!$D$2:$D$265,"valid",'Coded_Comments'!$K$2:$K$265,1)</x:f>
        <x:v>0</x:v>
      </x:c>
      <x:c r="O10" s="6" t="n">
        <x:f>COUNTIFS('Coded_Comments'!$B$2:$B$265,A10,'Coded_Comments'!$D$2:$D$265,"valid",'Coded_Comments'!$L$2:$L$265,1)</x:f>
        <x:v>0</x:v>
      </x:c>
      <x:c r="P10" s="6" t="n">
        <x:f>COUNTIFS('Coded_Comments'!$B$2:$B$265,A10,'Coded_Comments'!$D$2:$D$265,"valid",'Coded_Comments'!$M$2:$M$265,1)</x:f>
        <x:v>0</x:v>
      </x:c>
      <x:c r="Q10" s="6" t="n">
        <x:f>COUNTIFS('Coded_Comments'!$B$2:$B$265,A10,'Coded_Comments'!$D$2:$D$265,"valid",'Coded_Comments'!$N$2:$N$265,1)</x:f>
        <x:v>0</x:v>
      </x:c>
      <x:c r="R10" s="6" t="n">
        <x:f>COUNTIFS('Coded_Comments'!$B$2:$B$265,A10,'Coded_Comments'!$D$2:$D$265,"valid",'Coded_Comments'!$O$2:$O$265,1)</x:f>
        <x:v>1</x:v>
      </x:c>
      <x:c r="S10" s="6" t="n">
        <x:f>COUNTIFS('Coded_Comments'!$B$2:$B$265,A10,'Coded_Comments'!$D$2:$D$265,"valid",'Coded_Comments'!$P$2:$P$265,1)</x:f>
        <x:v>3</x:v>
      </x:c>
    </x:row>
    <x:row r="11" ht="38" customHeight="1">
      <x:c r="A11" s="6" t="str">
        <x:v>xhs_6aca2fd1000000001a025c97</x:v>
      </x:c>
      <x:c r="B11" s="6" t="str">
        <x:v>Xiaohongshu</x:v>
      </x:c>
      <x:c r="C11" s="6" t="str">
        <x:v>万圣节妆容第1弹🖤可爱鬼👻简单又出片！</x:v>
      </x:c>
      <x:c r="D11" s="6" t="d">
        <x:v>2026-10-10T12:30:09.000Z</x:v>
      </x:c>
      <x:c r="E11" s="6" t="str">
        <x:v>2026 accepted under revised scope</x:v>
      </x:c>
      <x:c r="F11" s="6" t="str">
        <x:v>Code: upstream library adapter; not a browser transcription</x:v>
      </x:c>
      <x:c r="G11" s="6" t="str">
        <x:v>general_reference_hk_unverified</x:v>
      </x:c>
      <x:c r="H11" s="6" t="str">
        <x:v>RESEARCH_WORKSPACE/ResearchTools/SaSa_Comment_Collection/data/xhs_research/posts.jsonl</x:v>
      </x:c>
      <x:c r="I11" s="6" t="str">
        <x:v>https://www.xiaohongshu.com/explore/6aca2fd1000000001a025c97</x:v>
      </x:c>
      <x:c r="J11" s="6" t="n">
        <x:v>10</x:v>
      </x:c>
      <x:c r="K11" s="6" t="n">
        <x:f>COUNTIFS('Coded_Comments'!$B$2:$B$265,A11,'Coded_Comments'!$D$2:$D$265,"valid")</x:f>
        <x:v>8</x:v>
      </x:c>
      <x:c r="L11" s="6" t="n">
        <x:f>COUNTIFS('Coded_Comments'!$B$2:$B$265,A11,'Coded_Comments'!$D$2:$D$265,"valid",'Coded_Comments'!$I$2:$I$265,1)</x:f>
        <x:v>3</x:v>
      </x:c>
      <x:c r="M11" s="6" t="n">
        <x:f>COUNTIFS('Coded_Comments'!$B$2:$B$265,A11,'Coded_Comments'!$D$2:$D$265,"valid",'Coded_Comments'!$J$2:$J$265,1)</x:f>
        <x:v>0</x:v>
      </x:c>
      <x:c r="N11" s="6" t="n">
        <x:f>COUNTIFS('Coded_Comments'!$B$2:$B$265,A11,'Coded_Comments'!$D$2:$D$265,"valid",'Coded_Comments'!$K$2:$K$265,1)</x:f>
        <x:v>3</x:v>
      </x:c>
      <x:c r="O11" s="6" t="n">
        <x:f>COUNTIFS('Coded_Comments'!$B$2:$B$265,A11,'Coded_Comments'!$D$2:$D$265,"valid",'Coded_Comments'!$L$2:$L$265,1)</x:f>
        <x:v>0</x:v>
      </x:c>
      <x:c r="P11" s="6" t="n">
        <x:f>COUNTIFS('Coded_Comments'!$B$2:$B$265,A11,'Coded_Comments'!$D$2:$D$265,"valid",'Coded_Comments'!$M$2:$M$265,1)</x:f>
        <x:v>0</x:v>
      </x:c>
      <x:c r="Q11" s="6" t="n">
        <x:f>COUNTIFS('Coded_Comments'!$B$2:$B$265,A11,'Coded_Comments'!$D$2:$D$265,"valid",'Coded_Comments'!$N$2:$N$265,1)</x:f>
        <x:v>0</x:v>
      </x:c>
      <x:c r="R11" s="6" t="n">
        <x:f>COUNTIFS('Coded_Comments'!$B$2:$B$265,A11,'Coded_Comments'!$D$2:$D$265,"valid",'Coded_Comments'!$O$2:$O$265,1)</x:f>
        <x:v>0</x:v>
      </x:c>
      <x:c r="S11" s="6" t="n">
        <x:f>COUNTIFS('Coded_Comments'!$B$2:$B$265,A11,'Coded_Comments'!$D$2:$D$265,"valid",'Coded_Comments'!$P$2:$P$265,1)</x:f>
        <x:v>3</x:v>
      </x:c>
    </x:row>
    <x:row r="12" ht="38" customHeight="1">
      <x:c r="A12" s="6" t="str">
        <x:v>xhs_6ac39d3b000000000d0281d0</x:v>
      </x:c>
      <x:c r="B12" s="6" t="str">
        <x:v>Xiaohongshu</x:v>
      </x:c>
      <x:c r="C12" s="6" t="str">
        <x:v>实测搓不掉的断手伤口妆教 万圣节去吓人吧</x:v>
      </x:c>
      <x:c r="D12" s="6" t="d">
        <x:v>2026-10-05T12:51:07.000Z</x:v>
      </x:c>
      <x:c r="E12" s="6" t="str">
        <x:v>2026 accepted under revised scope</x:v>
      </x:c>
      <x:c r="F12" s="6" t="str">
        <x:v>Code: upstream library adapter; not a browser transcription</x:v>
      </x:c>
      <x:c r="G12" s="6" t="str">
        <x:v>general_reference_hk_unverified</x:v>
      </x:c>
      <x:c r="H12" s="6" t="str">
        <x:v>RESEARCH_WORKSPACE/ResearchTools/SaSa_Comment_Collection/data/xhs_research/posts.jsonl</x:v>
      </x:c>
      <x:c r="I12" s="6" t="str">
        <x:v>https://www.xiaohongshu.com/explore/6ac39d3b000000000d0281d0</x:v>
      </x:c>
      <x:c r="J12" s="6" t="n">
        <x:v>15</x:v>
      </x:c>
      <x:c r="K12" s="6" t="n">
        <x:f>COUNTIFS('Coded_Comments'!$B$2:$B$265,A12,'Coded_Comments'!$D$2:$D$265,"valid")</x:f>
        <x:v>15</x:v>
      </x:c>
      <x:c r="L12" s="6" t="n">
        <x:f>COUNTIFS('Coded_Comments'!$B$2:$B$265,A12,'Coded_Comments'!$D$2:$D$265,"valid",'Coded_Comments'!$I$2:$I$265,1)</x:f>
        <x:v>11</x:v>
      </x:c>
      <x:c r="M12" s="6" t="n">
        <x:f>COUNTIFS('Coded_Comments'!$B$2:$B$265,A12,'Coded_Comments'!$D$2:$D$265,"valid",'Coded_Comments'!$J$2:$J$265,1)</x:f>
        <x:v>2</x:v>
      </x:c>
      <x:c r="N12" s="6" t="n">
        <x:f>COUNTIFS('Coded_Comments'!$B$2:$B$265,A12,'Coded_Comments'!$D$2:$D$265,"valid",'Coded_Comments'!$K$2:$K$265,1)</x:f>
        <x:v>0</x:v>
      </x:c>
      <x:c r="O12" s="6" t="n">
        <x:f>COUNTIFS('Coded_Comments'!$B$2:$B$265,A12,'Coded_Comments'!$D$2:$D$265,"valid",'Coded_Comments'!$L$2:$L$265,1)</x:f>
        <x:v>0</x:v>
      </x:c>
      <x:c r="P12" s="6" t="n">
        <x:f>COUNTIFS('Coded_Comments'!$B$2:$B$265,A12,'Coded_Comments'!$D$2:$D$265,"valid",'Coded_Comments'!$M$2:$M$265,1)</x:f>
        <x:v>0</x:v>
      </x:c>
      <x:c r="Q12" s="6" t="n">
        <x:f>COUNTIFS('Coded_Comments'!$B$2:$B$265,A12,'Coded_Comments'!$D$2:$D$265,"valid",'Coded_Comments'!$N$2:$N$265,1)</x:f>
        <x:v>0</x:v>
      </x:c>
      <x:c r="R12" s="6" t="n">
        <x:f>COUNTIFS('Coded_Comments'!$B$2:$B$265,A12,'Coded_Comments'!$D$2:$D$265,"valid",'Coded_Comments'!$O$2:$O$265,1)</x:f>
        <x:v>0</x:v>
      </x:c>
      <x:c r="S12" s="6" t="n">
        <x:f>COUNTIFS('Coded_Comments'!$B$2:$B$265,A12,'Coded_Comments'!$D$2:$D$265,"valid",'Coded_Comments'!$P$2:$P$265,1)</x:f>
        <x:v>4</x:v>
      </x:c>
    </x:row>
    <x:row r="13" ht="38" customHeight="1">
      <x:c r="A13" s="6" t="str">
        <x:v>xhs_6ad5f73a000000002a026cd0</x:v>
      </x:c>
      <x:c r="B13" s="6" t="str">
        <x:v>Xiaohongshu</x:v>
      </x:c>
      <x:c r="C13" s="6" t="str">
        <x:v>妆教｜万圣节哥特吸血鬼妆容教程</x:v>
      </x:c>
      <x:c r="D13" s="6" t="d">
        <x:v>2026-10-19T10:55:54.000Z</x:v>
      </x:c>
      <x:c r="E13" s="6" t="str">
        <x:v>2026 accepted under revised scope</x:v>
      </x:c>
      <x:c r="F13" s="6" t="str">
        <x:v>Code: upstream library adapter; not a browser transcription</x:v>
      </x:c>
      <x:c r="G13" s="6" t="str">
        <x:v>general_reference_hk_unverified</x:v>
      </x:c>
      <x:c r="H13" s="6" t="str">
        <x:v>RESEARCH_WORKSPACE/ResearchTools/SaSa_Comment_Collection/data/xhs_research/posts.jsonl</x:v>
      </x:c>
      <x:c r="I13" s="6" t="str">
        <x:v>https://www.xiaohongshu.com/explore/6ad5f73a000000002a026cd0</x:v>
      </x:c>
      <x:c r="J13" s="6" t="n">
        <x:v>0</x:v>
      </x:c>
      <x:c r="K13" s="6" t="n">
        <x:f>COUNTIFS('Coded_Comments'!$B$2:$B$265,A13,'Coded_Comments'!$D$2:$D$265,"valid")</x:f>
        <x:v>0</x:v>
      </x:c>
      <x:c r="L13" s="6" t="n">
        <x:f>COUNTIFS('Coded_Comments'!$B$2:$B$265,A13,'Coded_Comments'!$D$2:$D$265,"valid",'Coded_Comments'!$I$2:$I$265,1)</x:f>
        <x:v>0</x:v>
      </x:c>
      <x:c r="M13" s="6" t="n">
        <x:f>COUNTIFS('Coded_Comments'!$B$2:$B$265,A13,'Coded_Comments'!$D$2:$D$265,"valid",'Coded_Comments'!$J$2:$J$265,1)</x:f>
        <x:v>0</x:v>
      </x:c>
      <x:c r="N13" s="6" t="n">
        <x:f>COUNTIFS('Coded_Comments'!$B$2:$B$265,A13,'Coded_Comments'!$D$2:$D$265,"valid",'Coded_Comments'!$K$2:$K$265,1)</x:f>
        <x:v>0</x:v>
      </x:c>
      <x:c r="O13" s="6" t="n">
        <x:f>COUNTIFS('Coded_Comments'!$B$2:$B$265,A13,'Coded_Comments'!$D$2:$D$265,"valid",'Coded_Comments'!$L$2:$L$265,1)</x:f>
        <x:v>0</x:v>
      </x:c>
      <x:c r="P13" s="6" t="n">
        <x:f>COUNTIFS('Coded_Comments'!$B$2:$B$265,A13,'Coded_Comments'!$D$2:$D$265,"valid",'Coded_Comments'!$M$2:$M$265,1)</x:f>
        <x:v>0</x:v>
      </x:c>
      <x:c r="Q13" s="6" t="n">
        <x:f>COUNTIFS('Coded_Comments'!$B$2:$B$265,A13,'Coded_Comments'!$D$2:$D$265,"valid",'Coded_Comments'!$N$2:$N$265,1)</x:f>
        <x:v>0</x:v>
      </x:c>
      <x:c r="R13" s="6" t="n">
        <x:f>COUNTIFS('Coded_Comments'!$B$2:$B$265,A13,'Coded_Comments'!$D$2:$D$265,"valid",'Coded_Comments'!$O$2:$O$265,1)</x:f>
        <x:v>0</x:v>
      </x:c>
      <x:c r="S13" s="6" t="n">
        <x:f>COUNTIFS('Coded_Comments'!$B$2:$B$265,A13,'Coded_Comments'!$D$2:$D$265,"valid",'Coded_Comments'!$P$2:$P$265,1)</x:f>
        <x:v>0</x:v>
      </x:c>
    </x:row>
    <x:row r="14" ht="38" customHeight="1">
      <x:c r="A14" s="6" t="str">
        <x:v>xhs_6ad34887000000001801bdc1</x:v>
      </x:c>
      <x:c r="B14" s="6" t="str">
        <x:v>Xiaohongshu</x:v>
      </x:c>
      <x:c r="C14" s="6" t="str">
        <x:v>20秒速成万圣节蛛网妆🕷️一支棉签就能画</x:v>
      </x:c>
      <x:c r="D14" s="6" t="d">
        <x:v>2026-10-17T10:05:59.000Z</x:v>
      </x:c>
      <x:c r="E14" s="6" t="str">
        <x:v>2026 accepted under revised scope</x:v>
      </x:c>
      <x:c r="F14" s="6" t="str">
        <x:v>Code: upstream library adapter; not a browser transcription</x:v>
      </x:c>
      <x:c r="G14" s="6" t="str">
        <x:v>general_reference_hk_unverified</x:v>
      </x:c>
      <x:c r="H14" s="6" t="str">
        <x:v>RESEARCH_WORKSPACE/ResearchTools/SaSa_Comment_Collection/data/xhs_research/posts.jsonl</x:v>
      </x:c>
      <x:c r="I14" s="6" t="str">
        <x:v>https://www.xiaohongshu.com/explore/6ad34887000000001801bdc1</x:v>
      </x:c>
      <x:c r="J14" s="6" t="n">
        <x:v>2</x:v>
      </x:c>
      <x:c r="K14" s="6" t="n">
        <x:f>COUNTIFS('Coded_Comments'!$B$2:$B$265,A14,'Coded_Comments'!$D$2:$D$265,"valid")</x:f>
        <x:v>2</x:v>
      </x:c>
      <x:c r="L14" s="6" t="n">
        <x:f>COUNTIFS('Coded_Comments'!$B$2:$B$265,A14,'Coded_Comments'!$D$2:$D$265,"valid",'Coded_Comments'!$I$2:$I$265,1)</x:f>
        <x:v>0</x:v>
      </x:c>
      <x:c r="M14" s="6" t="n">
        <x:f>COUNTIFS('Coded_Comments'!$B$2:$B$265,A14,'Coded_Comments'!$D$2:$D$265,"valid",'Coded_Comments'!$J$2:$J$265,1)</x:f>
        <x:v>1</x:v>
      </x:c>
      <x:c r="N14" s="6" t="n">
        <x:f>COUNTIFS('Coded_Comments'!$B$2:$B$265,A14,'Coded_Comments'!$D$2:$D$265,"valid",'Coded_Comments'!$K$2:$K$265,1)</x:f>
        <x:v>1</x:v>
      </x:c>
      <x:c r="O14" s="6" t="n">
        <x:f>COUNTIFS('Coded_Comments'!$B$2:$B$265,A14,'Coded_Comments'!$D$2:$D$265,"valid",'Coded_Comments'!$L$2:$L$265,1)</x:f>
        <x:v>0</x:v>
      </x:c>
      <x:c r="P14" s="6" t="n">
        <x:f>COUNTIFS('Coded_Comments'!$B$2:$B$265,A14,'Coded_Comments'!$D$2:$D$265,"valid",'Coded_Comments'!$M$2:$M$265,1)</x:f>
        <x:v>0</x:v>
      </x:c>
      <x:c r="Q14" s="6" t="n">
        <x:f>COUNTIFS('Coded_Comments'!$B$2:$B$265,A14,'Coded_Comments'!$D$2:$D$265,"valid",'Coded_Comments'!$N$2:$N$265,1)</x:f>
        <x:v>0</x:v>
      </x:c>
      <x:c r="R14" s="6" t="n">
        <x:f>COUNTIFS('Coded_Comments'!$B$2:$B$265,A14,'Coded_Comments'!$D$2:$D$265,"valid",'Coded_Comments'!$O$2:$O$265,1)</x:f>
        <x:v>1</x:v>
      </x:c>
      <x:c r="S14" s="6" t="n">
        <x:f>COUNTIFS('Coded_Comments'!$B$2:$B$265,A14,'Coded_Comments'!$D$2:$D$265,"valid",'Coded_Comments'!$P$2:$P$265,1)</x:f>
        <x:v>0</x:v>
      </x:c>
    </x:row>
    <x:row r="15" ht="38" customHeight="1">
      <x:c r="A15" s="6" t="str">
        <x:v>xhs_6aba764c000000001b01c08b</x:v>
      </x:c>
      <x:c r="B15" s="6" t="str">
        <x:v>Xiaohongshu</x:v>
      </x:c>
      <x:c r="C15" s="6" t="str">
        <x:v>【万圣预热？】亚当 妆教</x:v>
      </x:c>
      <x:c r="D15" s="6" t="d">
        <x:v>2026-09-28T14:14:36.000Z</x:v>
      </x:c>
      <x:c r="E15" s="6" t="str">
        <x:v>2026 accepted under revised scope</x:v>
      </x:c>
      <x:c r="F15" s="6" t="str">
        <x:v>Code: upstream library adapter; not a browser transcription</x:v>
      </x:c>
      <x:c r="G15" s="6" t="str">
        <x:v>general_reference_hk_unverified</x:v>
      </x:c>
      <x:c r="H15" s="6" t="str">
        <x:v>RESEARCH_WORKSPACE/ResearchTools/SaSa_Comment_Collection/data/xhs_research/posts.jsonl</x:v>
      </x:c>
      <x:c r="I15" s="6" t="str">
        <x:v>https://www.xiaohongshu.com/explore/6aba764c000000001b01c08b</x:v>
      </x:c>
      <x:c r="J15" s="6" t="n">
        <x:v>15</x:v>
      </x:c>
      <x:c r="K15" s="6" t="n">
        <x:f>COUNTIFS('Coded_Comments'!$B$2:$B$265,A15,'Coded_Comments'!$D$2:$D$265,"valid")</x:f>
        <x:v>7</x:v>
      </x:c>
      <x:c r="L15" s="6" t="n">
        <x:f>COUNTIFS('Coded_Comments'!$B$2:$B$265,A15,'Coded_Comments'!$D$2:$D$265,"valid",'Coded_Comments'!$I$2:$I$265,1)</x:f>
        <x:v>5</x:v>
      </x:c>
      <x:c r="M15" s="6" t="n">
        <x:f>COUNTIFS('Coded_Comments'!$B$2:$B$265,A15,'Coded_Comments'!$D$2:$D$265,"valid",'Coded_Comments'!$J$2:$J$265,1)</x:f>
        <x:v>2</x:v>
      </x:c>
      <x:c r="N15" s="6" t="n">
        <x:f>COUNTIFS('Coded_Comments'!$B$2:$B$265,A15,'Coded_Comments'!$D$2:$D$265,"valid",'Coded_Comments'!$K$2:$K$265,1)</x:f>
        <x:v>0</x:v>
      </x:c>
      <x:c r="O15" s="6" t="n">
        <x:f>COUNTIFS('Coded_Comments'!$B$2:$B$265,A15,'Coded_Comments'!$D$2:$D$265,"valid",'Coded_Comments'!$L$2:$L$265,1)</x:f>
        <x:v>0</x:v>
      </x:c>
      <x:c r="P15" s="6" t="n">
        <x:f>COUNTIFS('Coded_Comments'!$B$2:$B$265,A15,'Coded_Comments'!$D$2:$D$265,"valid",'Coded_Comments'!$M$2:$M$265,1)</x:f>
        <x:v>0</x:v>
      </x:c>
      <x:c r="Q15" s="6" t="n">
        <x:f>COUNTIFS('Coded_Comments'!$B$2:$B$265,A15,'Coded_Comments'!$D$2:$D$265,"valid",'Coded_Comments'!$N$2:$N$265,1)</x:f>
        <x:v>0</x:v>
      </x:c>
      <x:c r="R15" s="6" t="n">
        <x:f>COUNTIFS('Coded_Comments'!$B$2:$B$265,A15,'Coded_Comments'!$D$2:$D$265,"valid",'Coded_Comments'!$O$2:$O$265,1)</x:f>
        <x:v>0</x:v>
      </x:c>
      <x:c r="S15" s="6" t="n">
        <x:f>COUNTIFS('Coded_Comments'!$B$2:$B$265,A15,'Coded_Comments'!$D$2:$D$265,"valid",'Coded_Comments'!$P$2:$P$265,1)</x:f>
        <x:v>0</x:v>
      </x:c>
    </x:row>
    <x:row r="16" ht="38" customHeight="1">
      <x:c r="A16" s="6" t="str">
        <x:v>xhs_6ad52f2a0000000029009b2b</x:v>
      </x:c>
      <x:c r="B16" s="6" t="str">
        <x:v>Xiaohongshu</x:v>
      </x:c>
      <x:c r="C16" s="6" t="str">
        <x:v>DOLL化妆教程</x:v>
      </x:c>
      <x:c r="D16" s="6" t="d">
        <x:v>2026-10-18T20:42:18.000Z</x:v>
      </x:c>
      <x:c r="E16" s="6" t="str">
        <x:v>2026 accepted under revised scope</x:v>
      </x:c>
      <x:c r="F16" s="6" t="str">
        <x:v>Code: upstream library adapter; not a browser transcription</x:v>
      </x:c>
      <x:c r="G16" s="6" t="str">
        <x:v>general_reference_hk_unverified</x:v>
      </x:c>
      <x:c r="H16" s="6" t="str">
        <x:v>RESEARCH_WORKSPACE/ResearchTools/SaSa_Comment_Collection/data/xhs_research/posts.jsonl</x:v>
      </x:c>
      <x:c r="I16" s="6" t="str">
        <x:v>https://www.xiaohongshu.com/explore/6ad52f2a0000000029009b2b</x:v>
      </x:c>
      <x:c r="J16" s="6" t="n">
        <x:v>3</x:v>
      </x:c>
      <x:c r="K16" s="6" t="n">
        <x:f>COUNTIFS('Coded_Comments'!$B$2:$B$265,A16,'Coded_Comments'!$D$2:$D$265,"valid")</x:f>
        <x:v>1</x:v>
      </x:c>
      <x:c r="L16" s="6" t="n">
        <x:f>COUNTIFS('Coded_Comments'!$B$2:$B$265,A16,'Coded_Comments'!$D$2:$D$265,"valid",'Coded_Comments'!$I$2:$I$265,1)</x:f>
        <x:v>1</x:v>
      </x:c>
      <x:c r="M16" s="6" t="n">
        <x:f>COUNTIFS('Coded_Comments'!$B$2:$B$265,A16,'Coded_Comments'!$D$2:$D$265,"valid",'Coded_Comments'!$J$2:$J$265,1)</x:f>
        <x:v>0</x:v>
      </x:c>
      <x:c r="N16" s="6" t="n">
        <x:f>COUNTIFS('Coded_Comments'!$B$2:$B$265,A16,'Coded_Comments'!$D$2:$D$265,"valid",'Coded_Comments'!$K$2:$K$265,1)</x:f>
        <x:v>0</x:v>
      </x:c>
      <x:c r="O16" s="6" t="n">
        <x:f>COUNTIFS('Coded_Comments'!$B$2:$B$265,A16,'Coded_Comments'!$D$2:$D$265,"valid",'Coded_Comments'!$L$2:$L$265,1)</x:f>
        <x:v>0</x:v>
      </x:c>
      <x:c r="P16" s="6" t="n">
        <x:f>COUNTIFS('Coded_Comments'!$B$2:$B$265,A16,'Coded_Comments'!$D$2:$D$265,"valid",'Coded_Comments'!$M$2:$M$265,1)</x:f>
        <x:v>0</x:v>
      </x:c>
      <x:c r="Q16" s="6" t="n">
        <x:f>COUNTIFS('Coded_Comments'!$B$2:$B$265,A16,'Coded_Comments'!$D$2:$D$265,"valid",'Coded_Comments'!$N$2:$N$265,1)</x:f>
        <x:v>0</x:v>
      </x:c>
      <x:c r="R16" s="6" t="n">
        <x:f>COUNTIFS('Coded_Comments'!$B$2:$B$265,A16,'Coded_Comments'!$D$2:$D$265,"valid",'Coded_Comments'!$O$2:$O$265,1)</x:f>
        <x:v>0</x:v>
      </x:c>
      <x:c r="S16" s="6" t="n">
        <x:f>COUNTIFS('Coded_Comments'!$B$2:$B$265,A16,'Coded_Comments'!$D$2:$D$265,"valid",'Coded_Comments'!$P$2:$P$265,1)</x:f>
        <x:v>0</x:v>
      </x:c>
    </x:row>
    <x:row r="17" ht="52" customHeight="1">
      <x:c r="A17" s="6" t="str">
        <x:v>instagram_DeppGlOxgA4</x:v>
      </x:c>
      <x:c r="B17" s="6" t="str">
        <x:v>Instagram</x:v>
      </x:c>
      <x:c r="C17" s="6" t="str">
        <x:v>New monster-mouth tutorial with a product list and advertising hashtag observed in the browser; preserve promotional context and do not assume buying interest.</x:v>
      </x:c>
      <x:c r="D17" s="6" t="str">
        <x:v>unknown_exact_date</x:v>
      </x:c>
      <x:c r="E17" s="6" t="str">
        <x:v>Original date separate from comment dates</x:v>
      </x:c>
      <x:c r="F17" s="6" t="str">
        <x:v>Visible browser DOM extraction; no comment API</x:v>
      </x:c>
      <x:c r="G17" s="6" t="str">
        <x:v>unverified</x:v>
      </x:c>
      <x:c r="H17" s="6" t="str">
        <x:v>RESEARCH_WORKSPACE/ResearchTools/SaSa_Comment_Collection/data/instagram_browser/DeppGlOxgA4_1792433992025104000.json</x:v>
      </x:c>
      <x:c r="I17" s="6" t="str">
        <x:v>https://www.instagram.com/reel/DeppGlOxgA4/</x:v>
      </x:c>
      <x:c r="J17" s="6" t="n">
        <x:v>15</x:v>
      </x:c>
      <x:c r="K17" s="6" t="n">
        <x:f>COUNTIFS('Coded_Comments'!$B$2:$B$265,A17,'Coded_Comments'!$D$2:$D$265,"valid")</x:f>
        <x:v>4</x:v>
      </x:c>
      <x:c r="L17" s="6" t="n">
        <x:f>COUNTIFS('Coded_Comments'!$B$2:$B$265,A17,'Coded_Comments'!$D$2:$D$265,"valid",'Coded_Comments'!$I$2:$I$265,1)</x:f>
        <x:v>4</x:v>
      </x:c>
      <x:c r="M17" s="6" t="n">
        <x:f>COUNTIFS('Coded_Comments'!$B$2:$B$265,A17,'Coded_Comments'!$D$2:$D$265,"valid",'Coded_Comments'!$J$2:$J$265,1)</x:f>
        <x:v>0</x:v>
      </x:c>
      <x:c r="N17" s="6" t="n">
        <x:f>COUNTIFS('Coded_Comments'!$B$2:$B$265,A17,'Coded_Comments'!$D$2:$D$265,"valid",'Coded_Comments'!$K$2:$K$265,1)</x:f>
        <x:v>0</x:v>
      </x:c>
      <x:c r="O17" s="6" t="n">
        <x:f>COUNTIFS('Coded_Comments'!$B$2:$B$265,A17,'Coded_Comments'!$D$2:$D$265,"valid",'Coded_Comments'!$L$2:$L$265,1)</x:f>
        <x:v>0</x:v>
      </x:c>
      <x:c r="P17" s="6" t="n">
        <x:f>COUNTIFS('Coded_Comments'!$B$2:$B$265,A17,'Coded_Comments'!$D$2:$D$265,"valid",'Coded_Comments'!$M$2:$M$265,1)</x:f>
        <x:v>0</x:v>
      </x:c>
      <x:c r="Q17" s="6" t="n">
        <x:f>COUNTIFS('Coded_Comments'!$B$2:$B$265,A17,'Coded_Comments'!$D$2:$D$265,"valid",'Coded_Comments'!$N$2:$N$265,1)</x:f>
        <x:v>0</x:v>
      </x:c>
      <x:c r="R17" s="6" t="n">
        <x:f>COUNTIFS('Coded_Comments'!$B$2:$B$265,A17,'Coded_Comments'!$D$2:$D$265,"valid",'Coded_Comments'!$O$2:$O$265,1)</x:f>
        <x:v>0</x:v>
      </x:c>
      <x:c r="S17" s="6" t="n">
        <x:f>COUNTIFS('Coded_Comments'!$B$2:$B$265,A17,'Coded_Comments'!$D$2:$D$265,"valid",'Coded_Comments'!$P$2:$P$265,1)</x:f>
        <x:v>0</x:v>
      </x:c>
    </x:row>
    <x:row r="18" ht="52" customHeight="1">
      <x:c r="A18" s="6" t="str">
        <x:v>instagram_DPRfaCiDD7n</x:v>
      </x:c>
      <x:c r="B18" s="6" t="str">
        <x:v>Instagram</x:v>
      </x:c>
      <x:c r="C18" s="6" t="str">
        <x:v>Ghost makeup tutorial embedded in Madame Figaro Hong Kong Halloween guide dated 24 October 2025; verify original post date and comments.</x:v>
      </x:c>
      <x:c r="D18" s="6" t="str">
        <x:v>2 October 2025</x:v>
      </x:c>
      <x:c r="E18" s="6" t="str">
        <x:v>Original date separate from comment dates</x:v>
      </x:c>
      <x:c r="F18" s="6" t="str">
        <x:v>Visible browser DOM extraction; no comment API</x:v>
      </x:c>
      <x:c r="G18" s="6" t="str">
        <x:v>hk_editorial_reference_only</x:v>
      </x:c>
      <x:c r="H18" s="6" t="str">
        <x:v>RESEARCH_WORKSPACE/ResearchTools/SaSa_Comment_Collection/data/instagram_historical/DPRfaCiDD7n_1792434597094325000.json</x:v>
      </x:c>
      <x:c r="I18" s="6" t="str">
        <x:v>https://www.instagram.com/reel/DPRfaCiDD7n/</x:v>
      </x:c>
      <x:c r="J18" s="6" t="n">
        <x:v>13</x:v>
      </x:c>
      <x:c r="K18" s="6" t="n">
        <x:f>COUNTIFS('Coded_Comments'!$B$2:$B$265,A18,'Coded_Comments'!$D$2:$D$265,"valid")</x:f>
        <x:v>1</x:v>
      </x:c>
      <x:c r="L18" s="6" t="n">
        <x:f>COUNTIFS('Coded_Comments'!$B$2:$B$265,A18,'Coded_Comments'!$D$2:$D$265,"valid",'Coded_Comments'!$I$2:$I$265,1)</x:f>
        <x:v>1</x:v>
      </x:c>
      <x:c r="M18" s="6" t="n">
        <x:f>COUNTIFS('Coded_Comments'!$B$2:$B$265,A18,'Coded_Comments'!$D$2:$D$265,"valid",'Coded_Comments'!$J$2:$J$265,1)</x:f>
        <x:v>1</x:v>
      </x:c>
      <x:c r="N18" s="6" t="n">
        <x:f>COUNTIFS('Coded_Comments'!$B$2:$B$265,A18,'Coded_Comments'!$D$2:$D$265,"valid",'Coded_Comments'!$K$2:$K$265,1)</x:f>
        <x:v>0</x:v>
      </x:c>
      <x:c r="O18" s="6" t="n">
        <x:f>COUNTIFS('Coded_Comments'!$B$2:$B$265,A18,'Coded_Comments'!$D$2:$D$265,"valid",'Coded_Comments'!$L$2:$L$265,1)</x:f>
        <x:v>0</x:v>
      </x:c>
      <x:c r="P18" s="6" t="n">
        <x:f>COUNTIFS('Coded_Comments'!$B$2:$B$265,A18,'Coded_Comments'!$D$2:$D$265,"valid",'Coded_Comments'!$M$2:$M$265,1)</x:f>
        <x:v>0</x:v>
      </x:c>
      <x:c r="Q18" s="6" t="n">
        <x:f>COUNTIFS('Coded_Comments'!$B$2:$B$265,A18,'Coded_Comments'!$D$2:$D$265,"valid",'Coded_Comments'!$N$2:$N$265,1)</x:f>
        <x:v>0</x:v>
      </x:c>
      <x:c r="R18" s="6" t="n">
        <x:f>COUNTIFS('Coded_Comments'!$B$2:$B$265,A18,'Coded_Comments'!$D$2:$D$265,"valid",'Coded_Comments'!$O$2:$O$265,1)</x:f>
        <x:v>0</x:v>
      </x:c>
      <x:c r="S18" s="6" t="n">
        <x:f>COUNTIFS('Coded_Comments'!$B$2:$B$265,A18,'Coded_Comments'!$D$2:$D$265,"valid",'Coded_Comments'!$P$2:$P$265,1)</x:f>
        <x:v>0</x:v>
      </x:c>
    </x:row>
    <x:row r="19" ht="52" customHeight="1">
      <x:c r="A19" s="6" t="str">
        <x:v>instagram_DA92M5qyQ9H</x:v>
      </x:c>
      <x:c r="B19" s="6" t="str">
        <x:v>Instagram</x:v>
      </x:c>
      <x:c r="C19" s="6" t="str">
        <x:v>Black lipstick inspiration linked by POPBEE Halloween guide displaying 28 October 2024; retain fan reactions and do not assume purchase interest; verify original date.</x:v>
      </x:c>
      <x:c r="D19" s="6" t="str">
        <x:v>11 October 2024</x:v>
      </x:c>
      <x:c r="E19" s="6" t="str">
        <x:v>Original date separate from comment dates</x:v>
      </x:c>
      <x:c r="F19" s="6" t="str">
        <x:v>Visible browser DOM extraction; no comment API</x:v>
      </x:c>
      <x:c r="G19" s="6" t="str">
        <x:v>general_reference</x:v>
      </x:c>
      <x:c r="H19" s="6" t="str">
        <x:v>RESEARCH_WORKSPACE/ResearchTools/SaSa_Comment_Collection/data/instagram_historical/DA92M5qyQ9H_1792434603497584000.json</x:v>
      </x:c>
      <x:c r="I19" s="6" t="str">
        <x:v>https://www.instagram.com/p/DA92M5qyQ9H/</x:v>
      </x:c>
      <x:c r="J19" s="6" t="n">
        <x:v>15</x:v>
      </x:c>
      <x:c r="K19" s="6" t="n">
        <x:f>COUNTIFS('Coded_Comments'!$B$2:$B$265,A19,'Coded_Comments'!$D$2:$D$265,"valid")</x:f>
        <x:v>0</x:v>
      </x:c>
      <x:c r="L19" s="6" t="n">
        <x:f>COUNTIFS('Coded_Comments'!$B$2:$B$265,A19,'Coded_Comments'!$D$2:$D$265,"valid",'Coded_Comments'!$I$2:$I$265,1)</x:f>
        <x:v>0</x:v>
      </x:c>
      <x:c r="M19" s="6" t="n">
        <x:f>COUNTIFS('Coded_Comments'!$B$2:$B$265,A19,'Coded_Comments'!$D$2:$D$265,"valid",'Coded_Comments'!$J$2:$J$265,1)</x:f>
        <x:v>0</x:v>
      </x:c>
      <x:c r="N19" s="6" t="n">
        <x:f>COUNTIFS('Coded_Comments'!$B$2:$B$265,A19,'Coded_Comments'!$D$2:$D$265,"valid",'Coded_Comments'!$K$2:$K$265,1)</x:f>
        <x:v>0</x:v>
      </x:c>
      <x:c r="O19" s="6" t="n">
        <x:f>COUNTIFS('Coded_Comments'!$B$2:$B$265,A19,'Coded_Comments'!$D$2:$D$265,"valid",'Coded_Comments'!$L$2:$L$265,1)</x:f>
        <x:v>0</x:v>
      </x:c>
      <x:c r="P19" s="6" t="n">
        <x:f>COUNTIFS('Coded_Comments'!$B$2:$B$265,A19,'Coded_Comments'!$D$2:$D$265,"valid",'Coded_Comments'!$M$2:$M$265,1)</x:f>
        <x:v>0</x:v>
      </x:c>
      <x:c r="Q19" s="6" t="n">
        <x:f>COUNTIFS('Coded_Comments'!$B$2:$B$265,A19,'Coded_Comments'!$D$2:$D$265,"valid",'Coded_Comments'!$N$2:$N$265,1)</x:f>
        <x:v>0</x:v>
      </x:c>
      <x:c r="R19" s="6" t="n">
        <x:f>COUNTIFS('Coded_Comments'!$B$2:$B$265,A19,'Coded_Comments'!$D$2:$D$265,"valid",'Coded_Comments'!$O$2:$O$265,1)</x:f>
        <x:v>0</x:v>
      </x:c>
      <x:c r="S19" s="6" t="n">
        <x:f>COUNTIFS('Coded_Comments'!$B$2:$B$265,A19,'Coded_Comments'!$D$2:$D$265,"valid",'Coded_Comments'!$P$2:$P$265,1)</x:f>
        <x:v>0</x:v>
      </x:c>
    </x:row>
    <x:row r="20" ht="52" customHeight="1">
      <x:c r="A20" s="6" t="str">
        <x:v>instagram_DAlrf28Njbf</x:v>
      </x:c>
      <x:c r="B20" s="6" t="str">
        <x:v>Instagram</x:v>
      </x:c>
      <x:c r="C20" s="6" t="str">
        <x:v>Spider makeup by beautybymols; candidate for product and technique questions; linked in EVOKE guide; no outcome assumed.</x:v>
      </x:c>
      <x:c r="D20" s="6" t="str">
        <x:v>unknown_exact_date</x:v>
      </x:c>
      <x:c r="E20" s="6" t="str">
        <x:v>Original post timestamp not exposed in this Reels view. Article year is not substituted.</x:v>
      </x:c>
      <x:c r="F20" s="6" t="str">
        <x:v>Visible browser DOM extraction; no comment API</x:v>
      </x:c>
      <x:c r="G20" s="6" t="str">
        <x:v>not_required</x:v>
      </x:c>
      <x:c r="H20" s="6" t="str">
        <x:v>RESEARCH_WORKSPACE/ResearchTools/SaSa_Comment_Collection/data/instagram_gap_batch/DAlrf28Njbf_1792435137654821000.json</x:v>
      </x:c>
      <x:c r="I20" s="6" t="str">
        <x:v>https://www.instagram.com/reel/DAlrf28Njbf/</x:v>
      </x:c>
      <x:c r="J20" s="6" t="n">
        <x:v>12</x:v>
      </x:c>
      <x:c r="K20" s="6" t="n">
        <x:f>COUNTIFS('Coded_Comments'!$B$2:$B$265,A20,'Coded_Comments'!$D$2:$D$265,"valid")</x:f>
        <x:v>8</x:v>
      </x:c>
      <x:c r="L20" s="6" t="n">
        <x:f>COUNTIFS('Coded_Comments'!$B$2:$B$265,A20,'Coded_Comments'!$D$2:$D$265,"valid",'Coded_Comments'!$I$2:$I$265,1)</x:f>
        <x:v>8</x:v>
      </x:c>
      <x:c r="M20" s="6" t="n">
        <x:f>COUNTIFS('Coded_Comments'!$B$2:$B$265,A20,'Coded_Comments'!$D$2:$D$265,"valid",'Coded_Comments'!$J$2:$J$265,1)</x:f>
        <x:v>0</x:v>
      </x:c>
      <x:c r="N20" s="6" t="n">
        <x:f>COUNTIFS('Coded_Comments'!$B$2:$B$265,A20,'Coded_Comments'!$D$2:$D$265,"valid",'Coded_Comments'!$K$2:$K$265,1)</x:f>
        <x:v>0</x:v>
      </x:c>
      <x:c r="O20" s="6" t="n">
        <x:f>COUNTIFS('Coded_Comments'!$B$2:$B$265,A20,'Coded_Comments'!$D$2:$D$265,"valid",'Coded_Comments'!$L$2:$L$265,1)</x:f>
        <x:v>0</x:v>
      </x:c>
      <x:c r="P20" s="6" t="n">
        <x:f>COUNTIFS('Coded_Comments'!$B$2:$B$265,A20,'Coded_Comments'!$D$2:$D$265,"valid",'Coded_Comments'!$M$2:$M$265,1)</x:f>
        <x:v>0</x:v>
      </x:c>
      <x:c r="Q20" s="6" t="n">
        <x:f>COUNTIFS('Coded_Comments'!$B$2:$B$265,A20,'Coded_Comments'!$D$2:$D$265,"valid",'Coded_Comments'!$N$2:$N$265,1)</x:f>
        <x:v>0</x:v>
      </x:c>
      <x:c r="R20" s="6" t="n">
        <x:f>COUNTIFS('Coded_Comments'!$B$2:$B$265,A20,'Coded_Comments'!$D$2:$D$265,"valid",'Coded_Comments'!$O$2:$O$265,1)</x:f>
        <x:v>0</x:v>
      </x:c>
      <x:c r="S20" s="6" t="n">
        <x:f>COUNTIFS('Coded_Comments'!$B$2:$B$265,A20,'Coded_Comments'!$D$2:$D$265,"valid",'Coded_Comments'!$P$2:$P$265,1)</x:f>
        <x:v>0</x:v>
      </x:c>
    </x:row>
    <x:row r="21" ht="66" customHeight="1">
      <x:c r="A21" s="6" t="str">
        <x:v>instagram_DBCK7wjpZKe</x:v>
      </x:c>
      <x:c r="B21" s="6" t="str">
        <x:v>Instagram</x:v>
      </x:c>
      <x:c r="C21" s="6" t="str">
        <x:v>Spiderweb tutorial using a fork and eyeliner; candidate for difficulty and ordinary-product use; linked in EL PAIS 31 October 2024 article; actual date and comment content unverified.</x:v>
      </x:c>
      <x:c r="D21" s="6" t="str">
        <x:v>unknown_exact_date</x:v>
      </x:c>
      <x:c r="E21" s="6" t="str">
        <x:v>Original post timestamp not exposed in this Reels view. Article year is not substituted.</x:v>
      </x:c>
      <x:c r="F21" s="6" t="str">
        <x:v>Visible browser DOM extraction; no comment API</x:v>
      </x:c>
      <x:c r="G21" s="6" t="str">
        <x:v>not_required</x:v>
      </x:c>
      <x:c r="H21" s="6" t="str">
        <x:v>RESEARCH_WORKSPACE/ResearchTools/SaSa_Comment_Collection/data/instagram_gap_batch/DBCK7wjpZKe_1792435065707736000.json</x:v>
      </x:c>
      <x:c r="I21" s="6" t="str">
        <x:v>https://www.instagram.com/reel/DBCK7wjpZKe/</x:v>
      </x:c>
      <x:c r="J21" s="6" t="n">
        <x:v>14</x:v>
      </x:c>
      <x:c r="K21" s="6" t="n">
        <x:f>COUNTIFS('Coded_Comments'!$B$2:$B$265,A21,'Coded_Comments'!$D$2:$D$265,"valid")</x:f>
        <x:v>4</x:v>
      </x:c>
      <x:c r="L21" s="6" t="n">
        <x:f>COUNTIFS('Coded_Comments'!$B$2:$B$265,A21,'Coded_Comments'!$D$2:$D$265,"valid",'Coded_Comments'!$I$2:$I$265,1)</x:f>
        <x:v>3</x:v>
      </x:c>
      <x:c r="M21" s="6" t="n">
        <x:f>COUNTIFS('Coded_Comments'!$B$2:$B$265,A21,'Coded_Comments'!$D$2:$D$265,"valid",'Coded_Comments'!$J$2:$J$265,1)</x:f>
        <x:v>0</x:v>
      </x:c>
      <x:c r="N21" s="6" t="n">
        <x:f>COUNTIFS('Coded_Comments'!$B$2:$B$265,A21,'Coded_Comments'!$D$2:$D$265,"valid",'Coded_Comments'!$K$2:$K$265,1)</x:f>
        <x:v>1</x:v>
      </x:c>
      <x:c r="O21" s="6" t="n">
        <x:f>COUNTIFS('Coded_Comments'!$B$2:$B$265,A21,'Coded_Comments'!$D$2:$D$265,"valid",'Coded_Comments'!$L$2:$L$265,1)</x:f>
        <x:v>0</x:v>
      </x:c>
      <x:c r="P21" s="6" t="n">
        <x:f>COUNTIFS('Coded_Comments'!$B$2:$B$265,A21,'Coded_Comments'!$D$2:$D$265,"valid",'Coded_Comments'!$M$2:$M$265,1)</x:f>
        <x:v>0</x:v>
      </x:c>
      <x:c r="Q21" s="6" t="n">
        <x:f>COUNTIFS('Coded_Comments'!$B$2:$B$265,A21,'Coded_Comments'!$D$2:$D$265,"valid",'Coded_Comments'!$N$2:$N$265,1)</x:f>
        <x:v>0</x:v>
      </x:c>
      <x:c r="R21" s="6" t="n">
        <x:f>COUNTIFS('Coded_Comments'!$B$2:$B$265,A21,'Coded_Comments'!$D$2:$D$265,"valid",'Coded_Comments'!$O$2:$O$265,1)</x:f>
        <x:v>0</x:v>
      </x:c>
      <x:c r="S21" s="6" t="n">
        <x:f>COUNTIFS('Coded_Comments'!$B$2:$B$265,A21,'Coded_Comments'!$D$2:$D$265,"valid",'Coded_Comments'!$P$2:$P$265,1)</x:f>
        <x:v>1</x:v>
      </x:c>
    </x:row>
    <x:row r="22" ht="52" customHeight="1">
      <x:c r="A22" s="6" t="str">
        <x:v>instagram_DBHO7-1CUzs</x:v>
      </x:c>
      <x:c r="B22" s="6" t="str">
        <x:v>Instagram</x:v>
      </x:c>
      <x:c r="C22" s="6" t="str">
        <x:v>Quick makeup example by illumin_arty; candidate for time and practical feasibility feedback; linked in EVOKE guide; original date pending.</x:v>
      </x:c>
      <x:c r="D22" s="6" t="str">
        <x:v>unknown_exact_date</x:v>
      </x:c>
      <x:c r="E22" s="6" t="str">
        <x:v>Original post timestamp not exposed in this Reels view. Article year is not substituted.</x:v>
      </x:c>
      <x:c r="F22" s="6" t="str">
        <x:v>Visible browser DOM extraction; no comment API</x:v>
      </x:c>
      <x:c r="G22" s="6" t="str">
        <x:v>not_required</x:v>
      </x:c>
      <x:c r="H22" s="6" t="str">
        <x:v>RESEARCH_WORKSPACE/ResearchTools/SaSa_Comment_Collection/data/instagram_gap_batch/DBHO7-1CUzs_1792435154639262000.json</x:v>
      </x:c>
      <x:c r="I22" s="6" t="str">
        <x:v>https://www.instagram.com/reel/DBHO7-1CUzs/</x:v>
      </x:c>
      <x:c r="J22" s="6" t="n">
        <x:v>14</x:v>
      </x:c>
      <x:c r="K22" s="6" t="n">
        <x:f>COUNTIFS('Coded_Comments'!$B$2:$B$265,A22,'Coded_Comments'!$D$2:$D$265,"valid")</x:f>
        <x:v>12</x:v>
      </x:c>
      <x:c r="L22" s="6" t="n">
        <x:f>COUNTIFS('Coded_Comments'!$B$2:$B$265,A22,'Coded_Comments'!$D$2:$D$265,"valid",'Coded_Comments'!$I$2:$I$265,1)</x:f>
        <x:v>6</x:v>
      </x:c>
      <x:c r="M22" s="6" t="n">
        <x:f>COUNTIFS('Coded_Comments'!$B$2:$B$265,A22,'Coded_Comments'!$D$2:$D$265,"valid",'Coded_Comments'!$J$2:$J$265,1)</x:f>
        <x:v>3</x:v>
      </x:c>
      <x:c r="N22" s="6" t="n">
        <x:f>COUNTIFS('Coded_Comments'!$B$2:$B$265,A22,'Coded_Comments'!$D$2:$D$265,"valid",'Coded_Comments'!$K$2:$K$265,1)</x:f>
        <x:v>6</x:v>
      </x:c>
      <x:c r="O22" s="6" t="n">
        <x:f>COUNTIFS('Coded_Comments'!$B$2:$B$265,A22,'Coded_Comments'!$D$2:$D$265,"valid",'Coded_Comments'!$L$2:$L$265,1)</x:f>
        <x:v>0</x:v>
      </x:c>
      <x:c r="P22" s="6" t="n">
        <x:f>COUNTIFS('Coded_Comments'!$B$2:$B$265,A22,'Coded_Comments'!$D$2:$D$265,"valid",'Coded_Comments'!$M$2:$M$265,1)</x:f>
        <x:v>0</x:v>
      </x:c>
      <x:c r="Q22" s="6" t="n">
        <x:f>COUNTIFS('Coded_Comments'!$B$2:$B$265,A22,'Coded_Comments'!$D$2:$D$265,"valid",'Coded_Comments'!$N$2:$N$265,1)</x:f>
        <x:v>0</x:v>
      </x:c>
      <x:c r="R22" s="6" t="n">
        <x:f>COUNTIFS('Coded_Comments'!$B$2:$B$265,A22,'Coded_Comments'!$D$2:$D$265,"valid",'Coded_Comments'!$O$2:$O$265,1)</x:f>
        <x:v>0</x:v>
      </x:c>
      <x:c r="S22" s="6" t="n">
        <x:f>COUNTIFS('Coded_Comments'!$B$2:$B$265,A22,'Coded_Comments'!$D$2:$D$265,"valid",'Coded_Comments'!$P$2:$P$265,1)</x:f>
        <x:v>1</x:v>
      </x:c>
    </x:row>
    <x:row r="23" ht="66" customHeight="1">
      <x:c r="A23" s="6" t="str">
        <x:v>instagram_DBHR6MPOlNY</x:v>
      </x:c>
      <x:c r="B23" s="6" t="str">
        <x:v>Instagram</x:v>
      </x:c>
      <x:c r="C23" s="6" t="str">
        <x:v>Less frightening Halloween look by ohmygeeee; broadens styles beyond horror and celebrity imagery; linked in EVOKE guide; original date pending.</x:v>
      </x:c>
      <x:c r="D23" s="6" t="str">
        <x:v>unknown_exact_date</x:v>
      </x:c>
      <x:c r="E23" s="6" t="str">
        <x:v>Original post timestamp not exposed in this Reels view. Article year is not substituted. Region-restricted video confirmed by screenshot; zero captured means missing comments.</x:v>
      </x:c>
      <x:c r="F23" s="6" t="str">
        <x:v>Visible browser DOM extraction; no comment API</x:v>
      </x:c>
      <x:c r="G23" s="6" t="str">
        <x:v>not_required</x:v>
      </x:c>
      <x:c r="H23" s="6" t="str">
        <x:v>RESEARCH_WORKSPACE/ResearchTools/SaSa_Comment_Collection/data/instagram_gap_batch/DBHR6MPOlNY_1792435171555230000.json</x:v>
      </x:c>
      <x:c r="I23" s="6" t="str">
        <x:v>https://www.instagram.com/reel/DBHR6MPOlNY/</x:v>
      </x:c>
      <x:c r="J23" s="6" t="n">
        <x:v>0</x:v>
      </x:c>
      <x:c r="K23" s="6" t="n">
        <x:f>COUNTIFS('Coded_Comments'!$B$2:$B$265,A23,'Coded_Comments'!$D$2:$D$265,"valid")</x:f>
        <x:v>0</x:v>
      </x:c>
      <x:c r="L23" s="6" t="n">
        <x:f>COUNTIFS('Coded_Comments'!$B$2:$B$265,A23,'Coded_Comments'!$D$2:$D$265,"valid",'Coded_Comments'!$I$2:$I$265,1)</x:f>
        <x:v>0</x:v>
      </x:c>
      <x:c r="M23" s="6" t="n">
        <x:f>COUNTIFS('Coded_Comments'!$B$2:$B$265,A23,'Coded_Comments'!$D$2:$D$265,"valid",'Coded_Comments'!$J$2:$J$265,1)</x:f>
        <x:v>0</x:v>
      </x:c>
      <x:c r="N23" s="6" t="n">
        <x:f>COUNTIFS('Coded_Comments'!$B$2:$B$265,A23,'Coded_Comments'!$D$2:$D$265,"valid",'Coded_Comments'!$K$2:$K$265,1)</x:f>
        <x:v>0</x:v>
      </x:c>
      <x:c r="O23" s="6" t="n">
        <x:f>COUNTIFS('Coded_Comments'!$B$2:$B$265,A23,'Coded_Comments'!$D$2:$D$265,"valid",'Coded_Comments'!$L$2:$L$265,1)</x:f>
        <x:v>0</x:v>
      </x:c>
      <x:c r="P23" s="6" t="n">
        <x:f>COUNTIFS('Coded_Comments'!$B$2:$B$265,A23,'Coded_Comments'!$D$2:$D$265,"valid",'Coded_Comments'!$M$2:$M$265,1)</x:f>
        <x:v>0</x:v>
      </x:c>
      <x:c r="Q23" s="6" t="n">
        <x:f>COUNTIFS('Coded_Comments'!$B$2:$B$265,A23,'Coded_Comments'!$D$2:$D$265,"valid",'Coded_Comments'!$N$2:$N$265,1)</x:f>
        <x:v>0</x:v>
      </x:c>
      <x:c r="R23" s="6" t="n">
        <x:f>COUNTIFS('Coded_Comments'!$B$2:$B$265,A23,'Coded_Comments'!$D$2:$D$265,"valid",'Coded_Comments'!$O$2:$O$265,1)</x:f>
        <x:v>0</x:v>
      </x:c>
      <x:c r="S23" s="6" t="n">
        <x:f>COUNTIFS('Coded_Comments'!$B$2:$B$265,A23,'Coded_Comments'!$D$2:$D$265,"valid",'Coded_Comments'!$P$2:$P$265,1)</x:f>
        <x:v>0</x:v>
      </x:c>
    </x:row>
    <x:row r="24" ht="52" customHeight="1">
      <x:c r="A24" s="6" t="str">
        <x:v>instagram_DBePt0ntGVD</x:v>
      </x:c>
      <x:c r="B24" s="6" t="str">
        <x:v>Instagram</x:v>
      </x:c>
      <x:c r="C24" s="6" t="str">
        <x:v>Foil and red lipstick wound tutorial; retain possible ordinary-product substitution or objections; comments not yet read; linked in EL PAIS 31 October 2024 article.</x:v>
      </x:c>
      <x:c r="D24" s="6" t="str">
        <x:v>unknown_exact_date</x:v>
      </x:c>
      <x:c r="E24" s="6" t="str">
        <x:v>Original post timestamp not exposed in this Reels view. Article year is not substituted.</x:v>
      </x:c>
      <x:c r="F24" s="6" t="str">
        <x:v>Visible browser DOM extraction; no comment API</x:v>
      </x:c>
      <x:c r="G24" s="6" t="str">
        <x:v>not_required</x:v>
      </x:c>
      <x:c r="H24" s="6" t="str">
        <x:v>RESEARCH_WORKSPACE/ResearchTools/SaSa_Comment_Collection/data/instagram_gap_batch/DBePt0ntGVD_1792435089749991000.json</x:v>
      </x:c>
      <x:c r="I24" s="6" t="str">
        <x:v>https://www.instagram.com/reel/DBePt0ntGVD/</x:v>
      </x:c>
      <x:c r="J24" s="6" t="n">
        <x:v>15</x:v>
      </x:c>
      <x:c r="K24" s="6" t="n">
        <x:f>COUNTIFS('Coded_Comments'!$B$2:$B$265,A24,'Coded_Comments'!$D$2:$D$265,"valid")</x:f>
        <x:v>7</x:v>
      </x:c>
      <x:c r="L24" s="6" t="n">
        <x:f>COUNTIFS('Coded_Comments'!$B$2:$B$265,A24,'Coded_Comments'!$D$2:$D$265,"valid",'Coded_Comments'!$I$2:$I$265,1)</x:f>
        <x:v>7</x:v>
      </x:c>
      <x:c r="M24" s="6" t="n">
        <x:f>COUNTIFS('Coded_Comments'!$B$2:$B$265,A24,'Coded_Comments'!$D$2:$D$265,"valid",'Coded_Comments'!$J$2:$J$265,1)</x:f>
        <x:v>1</x:v>
      </x:c>
      <x:c r="N24" s="6" t="n">
        <x:f>COUNTIFS('Coded_Comments'!$B$2:$B$265,A24,'Coded_Comments'!$D$2:$D$265,"valid",'Coded_Comments'!$K$2:$K$265,1)</x:f>
        <x:v>0</x:v>
      </x:c>
      <x:c r="O24" s="6" t="n">
        <x:f>COUNTIFS('Coded_Comments'!$B$2:$B$265,A24,'Coded_Comments'!$D$2:$D$265,"valid",'Coded_Comments'!$L$2:$L$265,1)</x:f>
        <x:v>0</x:v>
      </x:c>
      <x:c r="P24" s="6" t="n">
        <x:f>COUNTIFS('Coded_Comments'!$B$2:$B$265,A24,'Coded_Comments'!$D$2:$D$265,"valid",'Coded_Comments'!$M$2:$M$265,1)</x:f>
        <x:v>0</x:v>
      </x:c>
      <x:c r="Q24" s="6" t="n">
        <x:f>COUNTIFS('Coded_Comments'!$B$2:$B$265,A24,'Coded_Comments'!$D$2:$D$265,"valid",'Coded_Comments'!$N$2:$N$265,1)</x:f>
        <x:v>0</x:v>
      </x:c>
      <x:c r="R24" s="6" t="n">
        <x:f>COUNTIFS('Coded_Comments'!$B$2:$B$265,A24,'Coded_Comments'!$D$2:$D$265,"valid",'Coded_Comments'!$O$2:$O$265,1)</x:f>
        <x:v>0</x:v>
      </x:c>
      <x:c r="S24" s="6" t="n">
        <x:f>COUNTIFS('Coded_Comments'!$B$2:$B$265,A24,'Coded_Comments'!$D$2:$D$265,"valid",'Coded_Comments'!$P$2:$P$265,1)</x:f>
        <x:v>0</x:v>
      </x:c>
    </x:row>
    <x:row r="25" ht="52" customHeight="1">
      <x:c r="A25" s="6" t="str">
        <x:v>instagram_DPg7zL-DB7o</x:v>
      </x:c>
      <x:c r="B25" s="6" t="str">
        <x:v>Instagram</x:v>
      </x:c>
      <x:c r="C25" s="6" t="str">
        <x:v>Three-look makeup tutorial by beautybybelinda; candidate for options and tutorial difficulty; linked in EVOKE 14 October 2025 guide; comments unreviewed.</x:v>
      </x:c>
      <x:c r="D25" s="6" t="str">
        <x:v>unknown_exact_date</x:v>
      </x:c>
      <x:c r="E25" s="6" t="str">
        <x:v>Original post timestamp not exposed in this Reels view. Article year is not substituted.</x:v>
      </x:c>
      <x:c r="F25" s="6" t="str">
        <x:v>Visible browser DOM extraction; no comment API</x:v>
      </x:c>
      <x:c r="G25" s="6" t="str">
        <x:v>not_required</x:v>
      </x:c>
      <x:c r="H25" s="6" t="str">
        <x:v>RESEARCH_WORKSPACE/ResearchTools/SaSa_Comment_Collection/data/instagram_gap_batch/DPg7zL-DB7o_1792435122813044000.json</x:v>
      </x:c>
      <x:c r="I25" s="6" t="str">
        <x:v>https://www.instagram.com/reel/DPg7zL-DB7o/</x:v>
      </x:c>
      <x:c r="J25" s="6" t="n">
        <x:v>15</x:v>
      </x:c>
      <x:c r="K25" s="6" t="n">
        <x:f>COUNTIFS('Coded_Comments'!$B$2:$B$265,A25,'Coded_Comments'!$D$2:$D$265,"valid")</x:f>
        <x:v>13</x:v>
      </x:c>
      <x:c r="L25" s="6" t="n">
        <x:f>COUNTIFS('Coded_Comments'!$B$2:$B$265,A25,'Coded_Comments'!$D$2:$D$265,"valid",'Coded_Comments'!$I$2:$I$265,1)</x:f>
        <x:v>7</x:v>
      </x:c>
      <x:c r="M25" s="6" t="n">
        <x:f>COUNTIFS('Coded_Comments'!$B$2:$B$265,A25,'Coded_Comments'!$D$2:$D$265,"valid",'Coded_Comments'!$J$2:$J$265,1)</x:f>
        <x:v>5</x:v>
      </x:c>
      <x:c r="N25" s="6" t="n">
        <x:f>COUNTIFS('Coded_Comments'!$B$2:$B$265,A25,'Coded_Comments'!$D$2:$D$265,"valid",'Coded_Comments'!$K$2:$K$265,1)</x:f>
        <x:v>2</x:v>
      </x:c>
      <x:c r="O25" s="6" t="n">
        <x:f>COUNTIFS('Coded_Comments'!$B$2:$B$265,A25,'Coded_Comments'!$D$2:$D$265,"valid",'Coded_Comments'!$L$2:$L$265,1)</x:f>
        <x:v>0</x:v>
      </x:c>
      <x:c r="P25" s="6" t="n">
        <x:f>COUNTIFS('Coded_Comments'!$B$2:$B$265,A25,'Coded_Comments'!$D$2:$D$265,"valid",'Coded_Comments'!$M$2:$M$265,1)</x:f>
        <x:v>0</x:v>
      </x:c>
      <x:c r="Q25" s="6" t="n">
        <x:f>COUNTIFS('Coded_Comments'!$B$2:$B$265,A25,'Coded_Comments'!$D$2:$D$265,"valid",'Coded_Comments'!$N$2:$N$265,1)</x:f>
        <x:v>0</x:v>
      </x:c>
      <x:c r="R25" s="6" t="n">
        <x:f>COUNTIFS('Coded_Comments'!$B$2:$B$265,A25,'Coded_Comments'!$D$2:$D$265,"valid",'Coded_Comments'!$O$2:$O$265,1)</x:f>
        <x:v>0</x:v>
      </x:c>
      <x:c r="S25" s="6" t="n">
        <x:f>COUNTIFS('Coded_Comments'!$B$2:$B$265,A25,'Coded_Comments'!$D$2:$D$265,"valid",'Coded_Comments'!$P$2:$P$265,1)</x:f>
        <x:v>0</x:v>
      </x:c>
    </x:row>
  </x:sheetData>
  <x:hyperlinks>
    <x:hyperlink xmlns:ns0="http://schemas.openxmlformats.org/officeDocument/2006/relationships" ref="I2" ns0:id="rIdSaSaSource1"/>
    <x:hyperlink xmlns:ns1="http://schemas.openxmlformats.org/officeDocument/2006/relationships" ref="I3" ns1:id="rIdSaSaSource2"/>
    <x:hyperlink xmlns:ns2="http://schemas.openxmlformats.org/officeDocument/2006/relationships" ref="I4" ns2:id="rIdSaSaSource3"/>
    <x:hyperlink xmlns:ns3="http://schemas.openxmlformats.org/officeDocument/2006/relationships" ref="I5" ns3:id="rIdSaSaSource4"/>
    <x:hyperlink xmlns:ns4="http://schemas.openxmlformats.org/officeDocument/2006/relationships" ref="I6" ns4:id="rIdSaSaSource5"/>
    <x:hyperlink xmlns:ns5="http://schemas.openxmlformats.org/officeDocument/2006/relationships" ref="I7" ns5:id="rIdSaSaSource6"/>
    <x:hyperlink xmlns:ns6="http://schemas.openxmlformats.org/officeDocument/2006/relationships" ref="I8" ns6:id="rIdSaSaSource7"/>
    <x:hyperlink xmlns:ns7="http://schemas.openxmlformats.org/officeDocument/2006/relationships" ref="I9" ns7:id="rIdSaSaSource8"/>
    <x:hyperlink xmlns:ns8="http://schemas.openxmlformats.org/officeDocument/2006/relationships" ref="I10" ns8:id="rIdSaSaSource9"/>
    <x:hyperlink xmlns:ns9="http://schemas.openxmlformats.org/officeDocument/2006/relationships" ref="I11" ns9:id="rIdSaSaSource10"/>
    <x:hyperlink xmlns:ns10="http://schemas.openxmlformats.org/officeDocument/2006/relationships" ref="I12" ns10:id="rIdSaSaSource11"/>
    <x:hyperlink xmlns:ns11="http://schemas.openxmlformats.org/officeDocument/2006/relationships" ref="I13" ns11:id="rIdSaSaSource12"/>
    <x:hyperlink xmlns:ns12="http://schemas.openxmlformats.org/officeDocument/2006/relationships" ref="I14" ns12:id="rIdSaSaSource13"/>
    <x:hyperlink xmlns:ns13="http://schemas.openxmlformats.org/officeDocument/2006/relationships" ref="I15" ns13:id="rIdSaSaSource14"/>
    <x:hyperlink xmlns:ns14="http://schemas.openxmlformats.org/officeDocument/2006/relationships" ref="I16" ns14:id="rIdSaSaSource15"/>
    <x:hyperlink xmlns:ns15="http://schemas.openxmlformats.org/officeDocument/2006/relationships" ref="I17" ns15:id="rIdSaSaSource16"/>
    <x:hyperlink xmlns:ns16="http://schemas.openxmlformats.org/officeDocument/2006/relationships" ref="I18" ns16:id="rIdSaSaSource17"/>
    <x:hyperlink xmlns:ns17="http://schemas.openxmlformats.org/officeDocument/2006/relationships" ref="I19" ns17:id="rIdSaSaSource18"/>
    <x:hyperlink xmlns:ns18="http://schemas.openxmlformats.org/officeDocument/2006/relationships" ref="I20" ns18:id="rIdSaSaSource19"/>
    <x:hyperlink xmlns:ns19="http://schemas.openxmlformats.org/officeDocument/2006/relationships" ref="I21" ns19:id="rIdSaSaSource20"/>
    <x:hyperlink xmlns:ns20="http://schemas.openxmlformats.org/officeDocument/2006/relationships" ref="I22" ns20:id="rIdSaSaSource21"/>
    <x:hyperlink xmlns:ns21="http://schemas.openxmlformats.org/officeDocument/2006/relationships" ref="I23" ns21:id="rIdSaSaSource22"/>
    <x:hyperlink xmlns:ns22="http://schemas.openxmlformats.org/officeDocument/2006/relationships" ref="I24" ns22:id="rIdSaSaSource23"/>
    <x:hyperlink xmlns:ns23="http://schemas.openxmlformats.org/officeDocument/2006/relationships" ref="I25" ns23:id="rIdSaSaSource24"/>
  </x:hyperlinks>
  <x:pageMargins left="0.7" right="0.7" top="0.75" bottom="0.75" header="0.3" footer="0.3"/>
  <x:tableParts count="1">
    <x:tablePart xmlns:r="http://schemas.openxmlformats.org/officeDocument/2006/relationships" r:id="Rc55ff382fbd7410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7" hidden="0" customWidth="1"/>
    <x:col min="2" max="2" width="34" hidden="0" customWidth="1"/>
    <x:col min="3" max="3" width="18" hidden="0" customWidth="1"/>
    <x:col min="4" max="4" width="36" hidden="0" customWidth="1"/>
    <x:col min="5" max="5" width="70" hidden="0" customWidth="1"/>
    <x:col min="6" max="6" width="25" hidden="0" customWidth="1"/>
    <x:col min="7" max="7" width="30" hidden="0" customWidth="1"/>
    <x:col min="8" max="8" width="12" hidden="0" customWidth="1"/>
    <x:col min="9" max="9" width="45" hidden="0" customWidth="1"/>
    <x:col min="10" max="10" width="65" hidden="0" customWidth="1"/>
    <x:col min="11" max="11" width="65" hidden="0" customWidth="1"/>
    <x:col min="12" max="12" width="38" hidden="0" customWidth="1"/>
    <x:col min="13" max="13" width="35" hidden="0" customWidth="1"/>
  </x:cols>
  <x:sheetData>
    <x:row r="1" ht="42" customHeight="1">
      <x:c r="A1" s="10" t="str">
        <x:v>Comment ID</x:v>
      </x:c>
      <x:c r="B1" s="10" t="str">
        <x:v>Post ID</x:v>
      </x:c>
      <x:c r="C1" s="10" t="str">
        <x:v>Platform</x:v>
      </x:c>
      <x:c r="D1" s="10" t="str">
        <x:v>Anonymous user</x:v>
      </x:c>
      <x:c r="E1" s="10" t="str">
        <x:v>Original text</x:v>
      </x:c>
      <x:c r="F1" s="10" t="str">
        <x:v>Original date label</x:v>
      </x:c>
      <x:c r="G1" s="10" t="str">
        <x:v>Exact datetime</x:v>
      </x:c>
      <x:c r="H1" s="10" t="str">
        <x:v>Position</x:v>
      </x:c>
      <x:c r="I1" s="10" t="str">
        <x:v>Method</x:v>
      </x:c>
      <x:c r="J1" s="10" t="str">
        <x:v>Source</x:v>
      </x:c>
      <x:c r="K1" s="10" t="str">
        <x:v>Post URL</x:v>
      </x:c>
      <x:c r="L1" s="10" t="str">
        <x:v>Collection period</x:v>
      </x:c>
      <x:c r="M1" s="10" t="str">
        <x:v>Original date classification</x:v>
      </x:c>
    </x:row>
    <x:row r="2" ht="38" customHeight="1">
      <x:c r="A2" s="6" t="str">
        <x:v>XHS_P01_C01</x:v>
      </x:c>
      <x:c r="B2" s="6" t="str">
        <x:v>XHS_P01</x:v>
      </x:c>
      <x:c r="C2" s="6" t="str">
        <x:v>Xiaohongshu</x:v>
      </x:c>
      <x:c r="D2" s="6" t="str">
        <x:v>XHS_P01_U01</x:v>
      </x:c>
      <x:c r="E2" s="6" t="str">
        <x:v>問價</x:v>
      </x:c>
      <x:c r="F2" s="6" t="str">
        <x:v>5天前</x:v>
      </x:c>
      <x:c r="G2" s="6" t="str"/>
      <x:c r="H2" s="6" t="n">
        <x:v>1</x:v>
      </x:c>
      <x:c r="I2" s="6" t="str">
        <x:v>Browser-visible accessibility text; manually transcribed and reviewed</x:v>
      </x:c>
      <x:c r="J2" s="6" t="str">
        <x:v>RESEARCH_WORKSPACE/Outputs/SaSa_Section_2_2/support/browser_evidence/XHS_P01_full.txt</x:v>
      </x:c>
      <x:c r="K2" s="6" t="str">
        <x:v>https://www.xiaohongshu.com/explore/6aad0c710000000026008cfa</x:v>
      </x:c>
      <x:c r="L2" s="6" t="str">
        <x:v>2026-10-19 to 2026-10-20 Hong Kong time</x:v>
      </x:c>
      <x:c r="M2" s="6" t="str">
        <x:v>supplemental_2026_to_collection_date</x:v>
      </x:c>
    </x:row>
    <x:row r="3" ht="38" customHeight="1">
      <x:c r="A3" s="6" t="str">
        <x:v>XHS_P01_R01</x:v>
      </x:c>
      <x:c r="B3" s="6" t="str">
        <x:v>XHS_P01</x:v>
      </x:c>
      <x:c r="C3" s="6" t="str">
        <x:v>Xiaohongshu</x:v>
      </x:c>
      <x:c r="D3" s="6" t="str">
        <x:v>XHS_P01_CREATOR</x:v>
      </x:c>
      <x:c r="E3" s="6" t="str">
        <x:v>来了</x:v>
      </x:c>
      <x:c r="F3" s="6" t="str">
        <x:v>5天前</x:v>
      </x:c>
      <x:c r="G3" s="6" t="str"/>
      <x:c r="H3" s="6" t="str">
        <x:v>1.1</x:v>
      </x:c>
      <x:c r="I3" s="6" t="str">
        <x:v>Browser-visible accessibility text; manually transcribed and reviewed</x:v>
      </x:c>
      <x:c r="J3" s="6" t="str">
        <x:v>RESEARCH_WORKSPACE/Outputs/SaSa_Section_2_2/support/browser_evidence/XHS_P01_full.txt</x:v>
      </x:c>
      <x:c r="K3" s="6" t="str">
        <x:v>https://www.xiaohongshu.com/explore/6aad0c710000000026008cfa</x:v>
      </x:c>
      <x:c r="L3" s="6" t="str">
        <x:v>2026-10-19 to 2026-10-20 Hong Kong time</x:v>
      </x:c>
      <x:c r="M3" s="6" t="str">
        <x:v>supplemental_2026_to_collection_date</x:v>
      </x:c>
    </x:row>
    <x:row r="4" ht="38" customHeight="1">
      <x:c r="A4" s="6" t="str">
        <x:v>XHS_P01_C02</x:v>
      </x:c>
      <x:c r="B4" s="6" t="str">
        <x:v>XHS_P01</x:v>
      </x:c>
      <x:c r="C4" s="6" t="str">
        <x:v>Xiaohongshu</x:v>
      </x:c>
      <x:c r="D4" s="6" t="str">
        <x:v>XHS_P01_U02</x:v>
      </x:c>
      <x:c r="E4" s="6" t="str">
        <x:v>亚洲国际博览馆附近可约吗</x:v>
      </x:c>
      <x:c r="F4" s="6" t="str">
        <x:v>10-02</x:v>
      </x:c>
      <x:c r="G4" s="6" t="str"/>
      <x:c r="H4" s="6" t="n">
        <x:v>2</x:v>
      </x:c>
      <x:c r="I4" s="6" t="str">
        <x:v>Browser-visible accessibility text; manually transcribed and reviewed</x:v>
      </x:c>
      <x:c r="J4" s="6" t="str">
        <x:v>RESEARCH_WORKSPACE/Outputs/SaSa_Section_2_2/support/browser_evidence/XHS_P01_full.txt</x:v>
      </x:c>
      <x:c r="K4" s="6" t="str">
        <x:v>https://www.xiaohongshu.com/explore/6aad0c710000000026008cfa</x:v>
      </x:c>
      <x:c r="L4" s="6" t="str">
        <x:v>2026-10-19 to 2026-10-20 Hong Kong time</x:v>
      </x:c>
      <x:c r="M4" s="6" t="str">
        <x:v>unknown_year_MM-DD</x:v>
      </x:c>
    </x:row>
    <x:row r="5" ht="38" customHeight="1">
      <x:c r="A5" s="6" t="str">
        <x:v>XHS_P01_R02</x:v>
      </x:c>
      <x:c r="B5" s="6" t="str">
        <x:v>XHS_P01</x:v>
      </x:c>
      <x:c r="C5" s="6" t="str">
        <x:v>Xiaohongshu</x:v>
      </x:c>
      <x:c r="D5" s="6" t="str">
        <x:v>XHS_P01_CREATOR</x:v>
      </x:c>
      <x:c r="E5" s="6" t="str">
        <x:v>私</x:v>
      </x:c>
      <x:c r="F5" s="6" t="str">
        <x:v>10-02</x:v>
      </x:c>
      <x:c r="G5" s="6" t="str"/>
      <x:c r="H5" s="6" t="str">
        <x:v>2.1</x:v>
      </x:c>
      <x:c r="I5" s="6" t="str">
        <x:v>Browser-visible accessibility text; manually transcribed and reviewed</x:v>
      </x:c>
      <x:c r="J5" s="6" t="str">
        <x:v>RESEARCH_WORKSPACE/Outputs/SaSa_Section_2_2/support/browser_evidence/XHS_P01_full.txt</x:v>
      </x:c>
      <x:c r="K5" s="6" t="str">
        <x:v>https://www.xiaohongshu.com/explore/6aad0c710000000026008cfa</x:v>
      </x:c>
      <x:c r="L5" s="6" t="str">
        <x:v>2026-10-19 to 2026-10-20 Hong Kong time</x:v>
      </x:c>
      <x:c r="M5" s="6" t="str">
        <x:v>unknown_year_MM-DD</x:v>
      </x:c>
    </x:row>
    <x:row r="6" ht="38" customHeight="1">
      <x:c r="A6" s="6" t="str">
        <x:v>XHS_P01_C03</x:v>
      </x:c>
      <x:c r="B6" s="6" t="str">
        <x:v>XHS_P01</x:v>
      </x:c>
      <x:c r="C6" s="6" t="str">
        <x:v>Xiaohongshu</x:v>
      </x:c>
      <x:c r="D6" s="6" t="str">
        <x:v>XHS_P01_U03</x:v>
      </x:c>
      <x:c r="E6" s="6" t="str">
        <x:v>问价，机场附近</x:v>
      </x:c>
      <x:c r="F6" s="6" t="str">
        <x:v>1天前</x:v>
      </x:c>
      <x:c r="G6" s="6" t="str"/>
      <x:c r="H6" s="6" t="n">
        <x:v>3</x:v>
      </x:c>
      <x:c r="I6" s="6" t="str">
        <x:v>Browser-visible accessibility text; manually transcribed and reviewed</x:v>
      </x:c>
      <x:c r="J6" s="6" t="str">
        <x:v>RESEARCH_WORKSPACE/Outputs/SaSa_Section_2_2/support/browser_evidence/XHS_P01_full.txt</x:v>
      </x:c>
      <x:c r="K6" s="6" t="str">
        <x:v>https://www.xiaohongshu.com/explore/6aad0c710000000026008cfa</x:v>
      </x:c>
      <x:c r="L6" s="6" t="str">
        <x:v>2026-10-19 to 2026-10-20 Hong Kong time</x:v>
      </x:c>
      <x:c r="M6" s="6" t="str">
        <x:v>supplemental_2026_to_collection_date</x:v>
      </x:c>
    </x:row>
    <x:row r="7" ht="38" customHeight="1">
      <x:c r="A7" s="6" t="str">
        <x:v>XHS_P01_R03</x:v>
      </x:c>
      <x:c r="B7" s="6" t="str">
        <x:v>XHS_P01</x:v>
      </x:c>
      <x:c r="C7" s="6" t="str">
        <x:v>Xiaohongshu</x:v>
      </x:c>
      <x:c r="D7" s="6" t="str">
        <x:v>XHS_P01_CREATOR</x:v>
      </x:c>
      <x:c r="E7" s="6" t="str">
        <x:v>化什么的妆造 有图吗</x:v>
      </x:c>
      <x:c r="F7" s="6" t="str">
        <x:v>1天前</x:v>
      </x:c>
      <x:c r="G7" s="6" t="str"/>
      <x:c r="H7" s="6" t="str">
        <x:v>3.1</x:v>
      </x:c>
      <x:c r="I7" s="6" t="str">
        <x:v>Browser-visible accessibility text; manually transcribed and reviewed</x:v>
      </x:c>
      <x:c r="J7" s="6" t="str">
        <x:v>RESEARCH_WORKSPACE/Outputs/SaSa_Section_2_2/support/browser_evidence/XHS_P01_full.txt</x:v>
      </x:c>
      <x:c r="K7" s="6" t="str">
        <x:v>https://www.xiaohongshu.com/explore/6aad0c710000000026008cfa</x:v>
      </x:c>
      <x:c r="L7" s="6" t="str">
        <x:v>2026-10-19 to 2026-10-20 Hong Kong time</x:v>
      </x:c>
      <x:c r="M7" s="6" t="str">
        <x:v>supplemental_2026_to_collection_date</x:v>
      </x:c>
    </x:row>
    <x:row r="8" ht="38" customHeight="1">
      <x:c r="A8" s="6" t="str">
        <x:v>XHS_P01_C04</x:v>
      </x:c>
      <x:c r="B8" s="6" t="str">
        <x:v>XHS_P01</x:v>
      </x:c>
      <x:c r="C8" s="6" t="str">
        <x:v>Xiaohongshu</x:v>
      </x:c>
      <x:c r="D8" s="6" t="str">
        <x:v>XHS_P01_U04</x:v>
      </x:c>
      <x:c r="E8" s="6" t="str">
        <x:v>屋企上門可以嗎？</x:v>
      </x:c>
      <x:c r="F8" s="6" t="str">
        <x:v>1天前</x:v>
      </x:c>
      <x:c r="G8" s="6" t="str"/>
      <x:c r="H8" s="6" t="n">
        <x:v>4</x:v>
      </x:c>
      <x:c r="I8" s="6" t="str">
        <x:v>Browser-visible accessibility text; manually transcribed and reviewed</x:v>
      </x:c>
      <x:c r="J8" s="6" t="str">
        <x:v>RESEARCH_WORKSPACE/Outputs/SaSa_Section_2_2/support/browser_evidence/XHS_P01_full.txt</x:v>
      </x:c>
      <x:c r="K8" s="6" t="str">
        <x:v>https://www.xiaohongshu.com/explore/6aad0c710000000026008cfa</x:v>
      </x:c>
      <x:c r="L8" s="6" t="str">
        <x:v>2026-10-19 to 2026-10-20 Hong Kong time</x:v>
      </x:c>
      <x:c r="M8" s="6" t="str">
        <x:v>supplemental_2026_to_collection_date</x:v>
      </x:c>
    </x:row>
    <x:row r="9" ht="38" customHeight="1">
      <x:c r="A9" s="6" t="str">
        <x:v>XHS_P01_R04</x:v>
      </x:c>
      <x:c r="B9" s="6" t="str">
        <x:v>XHS_P01</x:v>
      </x:c>
      <x:c r="C9" s="6" t="str">
        <x:v>Xiaohongshu</x:v>
      </x:c>
      <x:c r="D9" s="6" t="str">
        <x:v>XHS_P01_CREATOR</x:v>
      </x:c>
      <x:c r="E9" s="6" t="str">
        <x:v>可以的宝子</x:v>
      </x:c>
      <x:c r="F9" s="6" t="str">
        <x:v>1天前</x:v>
      </x:c>
      <x:c r="G9" s="6" t="str"/>
      <x:c r="H9" s="6" t="str">
        <x:v>4.1</x:v>
      </x:c>
      <x:c r="I9" s="6" t="str">
        <x:v>Browser-visible accessibility text; manually transcribed and reviewed</x:v>
      </x:c>
      <x:c r="J9" s="6" t="str">
        <x:v>RESEARCH_WORKSPACE/Outputs/SaSa_Section_2_2/support/browser_evidence/XHS_P01_full.txt</x:v>
      </x:c>
      <x:c r="K9" s="6" t="str">
        <x:v>https://www.xiaohongshu.com/explore/6aad0c710000000026008cfa</x:v>
      </x:c>
      <x:c r="L9" s="6" t="str">
        <x:v>2026-10-19 to 2026-10-20 Hong Kong time</x:v>
      </x:c>
      <x:c r="M9" s="6" t="str">
        <x:v>supplemental_2026_to_collection_date</x:v>
      </x:c>
    </x:row>
    <x:row r="10" ht="38" customHeight="1">
      <x:c r="A10" s="6" t="str">
        <x:v>XHS_P01_C05</x:v>
      </x:c>
      <x:c r="B10" s="6" t="str">
        <x:v>XHS_P01</x:v>
      </x:c>
      <x:c r="C10" s="6" t="str">
        <x:v>Xiaohongshu</x:v>
      </x:c>
      <x:c r="D10" s="6" t="str">
        <x:v>XHS_P01_U05</x:v>
      </x:c>
      <x:c r="E10" s="6" t="str">
        <x:v>想咨询</x:v>
      </x:c>
      <x:c r="F10" s="6" t="str">
        <x:v>09-30</x:v>
      </x:c>
      <x:c r="G10" s="6" t="str"/>
      <x:c r="H10" s="6" t="n">
        <x:v>5</x:v>
      </x:c>
      <x:c r="I10" s="6" t="str">
        <x:v>Browser-visible accessibility text; manually transcribed and reviewed</x:v>
      </x:c>
      <x:c r="J10" s="6" t="str">
        <x:v>RESEARCH_WORKSPACE/Outputs/SaSa_Section_2_2/support/browser_evidence/XHS_P01_full.txt</x:v>
      </x:c>
      <x:c r="K10" s="6" t="str">
        <x:v>https://www.xiaohongshu.com/explore/6aad0c710000000026008cfa</x:v>
      </x:c>
      <x:c r="L10" s="6" t="str">
        <x:v>2026-10-19 to 2026-10-20 Hong Kong time</x:v>
      </x:c>
      <x:c r="M10" s="6" t="str">
        <x:v>unknown_year_MM-DD</x:v>
      </x:c>
    </x:row>
    <x:row r="11" ht="38" customHeight="1">
      <x:c r="A11" s="6" t="str">
        <x:v>XHS_P01_R05</x:v>
      </x:c>
      <x:c r="B11" s="6" t="str">
        <x:v>XHS_P01</x:v>
      </x:c>
      <x:c r="C11" s="6" t="str">
        <x:v>Xiaohongshu</x:v>
      </x:c>
      <x:c r="D11" s="6" t="str">
        <x:v>XHS_P01_CREATOR</x:v>
      </x:c>
      <x:c r="E11" s="6" t="str">
        <x:v>来了</x:v>
      </x:c>
      <x:c r="F11" s="6" t="str">
        <x:v>09-30</x:v>
      </x:c>
      <x:c r="G11" s="6" t="str"/>
      <x:c r="H11" s="6" t="str">
        <x:v>5.1</x:v>
      </x:c>
      <x:c r="I11" s="6" t="str">
        <x:v>Browser-visible accessibility text; manually transcribed and reviewed</x:v>
      </x:c>
      <x:c r="J11" s="6" t="str">
        <x:v>RESEARCH_WORKSPACE/Outputs/SaSa_Section_2_2/support/browser_evidence/XHS_P01_full.txt</x:v>
      </x:c>
      <x:c r="K11" s="6" t="str">
        <x:v>https://www.xiaohongshu.com/explore/6aad0c710000000026008cfa</x:v>
      </x:c>
      <x:c r="L11" s="6" t="str">
        <x:v>2026-10-19 to 2026-10-20 Hong Kong time</x:v>
      </x:c>
      <x:c r="M11" s="6" t="str">
        <x:v>unknown_year_MM-DD</x:v>
      </x:c>
    </x:row>
    <x:row r="12" ht="38" customHeight="1">
      <x:c r="A12" s="6" t="str">
        <x:v>XHS_P01_C06</x:v>
      </x:c>
      <x:c r="B12" s="6" t="str">
        <x:v>XHS_P01</x:v>
      </x:c>
      <x:c r="C12" s="6" t="str">
        <x:v>Xiaohongshu</x:v>
      </x:c>
      <x:c r="D12" s="6" t="str">
        <x:v>XHS_P01_U06</x:v>
      </x:c>
      <x:c r="E12" s="6" t="str">
        <x:v>亚博馆附近酒店上门可以吗</x:v>
      </x:c>
      <x:c r="F12" s="6" t="str">
        <x:v>10-09</x:v>
      </x:c>
      <x:c r="G12" s="6" t="str"/>
      <x:c r="H12" s="6" t="n">
        <x:v>6</x:v>
      </x:c>
      <x:c r="I12" s="6" t="str">
        <x:v>Browser-visible accessibility text; manually transcribed and reviewed</x:v>
      </x:c>
      <x:c r="J12" s="6" t="str">
        <x:v>RESEARCH_WORKSPACE/Outputs/SaSa_Section_2_2/support/browser_evidence/XHS_P01_full.txt</x:v>
      </x:c>
      <x:c r="K12" s="6" t="str">
        <x:v>https://www.xiaohongshu.com/explore/6aad0c710000000026008cfa</x:v>
      </x:c>
      <x:c r="L12" s="6" t="str">
        <x:v>2026-10-19 to 2026-10-20 Hong Kong time</x:v>
      </x:c>
      <x:c r="M12" s="6" t="str">
        <x:v>unknown_year_MM-DD</x:v>
      </x:c>
    </x:row>
    <x:row r="13" ht="38" customHeight="1">
      <x:c r="A13" s="6" t="str">
        <x:v>XHS_P01_R06</x:v>
      </x:c>
      <x:c r="B13" s="6" t="str">
        <x:v>XHS_P01</x:v>
      </x:c>
      <x:c r="C13" s="6" t="str">
        <x:v>Xiaohongshu</x:v>
      </x:c>
      <x:c r="D13" s="6" t="str">
        <x:v>XHS_P01_CREATOR</x:v>
      </x:c>
      <x:c r="E13" s="6" t="str">
        <x:v>可以的</x:v>
      </x:c>
      <x:c r="F13" s="6" t="str">
        <x:v>10-09</x:v>
      </x:c>
      <x:c r="G13" s="6" t="str"/>
      <x:c r="H13" s="6" t="str">
        <x:v>6.1</x:v>
      </x:c>
      <x:c r="I13" s="6" t="str">
        <x:v>Browser-visible accessibility text; manually transcribed and reviewed</x:v>
      </x:c>
      <x:c r="J13" s="6" t="str">
        <x:v>RESEARCH_WORKSPACE/Outputs/SaSa_Section_2_2/support/browser_evidence/XHS_P01_full.txt</x:v>
      </x:c>
      <x:c r="K13" s="6" t="str">
        <x:v>https://www.xiaohongshu.com/explore/6aad0c710000000026008cfa</x:v>
      </x:c>
      <x:c r="L13" s="6" t="str">
        <x:v>2026-10-19 to 2026-10-20 Hong Kong time</x:v>
      </x:c>
      <x:c r="M13" s="6" t="str">
        <x:v>unknown_year_MM-DD</x:v>
      </x:c>
    </x:row>
    <x:row r="14" ht="38" customHeight="1">
      <x:c r="A14" s="6" t="str">
        <x:v>XHS_P01_C07</x:v>
      </x:c>
      <x:c r="B14" s="6" t="str">
        <x:v>XHS_P01</x:v>
      </x:c>
      <x:c r="C14" s="6" t="str">
        <x:v>Xiaohongshu</x:v>
      </x:c>
      <x:c r="D14" s="6" t="str">
        <x:v>XHS_P01_U07</x:v>
      </x:c>
      <x:c r="E14" s="6" t="str">
        <x:v>问价</x:v>
      </x:c>
      <x:c r="F14" s="6" t="str">
        <x:v>10-08</x:v>
      </x:c>
      <x:c r="G14" s="6" t="str"/>
      <x:c r="H14" s="6" t="n">
        <x:v>7</x:v>
      </x:c>
      <x:c r="I14" s="6" t="str">
        <x:v>Browser-visible accessibility text; manually transcribed and reviewed</x:v>
      </x:c>
      <x:c r="J14" s="6" t="str">
        <x:v>RESEARCH_WORKSPACE/Outputs/SaSa_Section_2_2/support/browser_evidence/XHS_P01_full.txt</x:v>
      </x:c>
      <x:c r="K14" s="6" t="str">
        <x:v>https://www.xiaohongshu.com/explore/6aad0c710000000026008cfa</x:v>
      </x:c>
      <x:c r="L14" s="6" t="str">
        <x:v>2026-10-19 to 2026-10-20 Hong Kong time</x:v>
      </x:c>
      <x:c r="M14" s="6" t="str">
        <x:v>unknown_year_MM-DD</x:v>
      </x:c>
    </x:row>
    <x:row r="15" ht="38" customHeight="1">
      <x:c r="A15" s="6" t="str">
        <x:v>XHS_P01_R07</x:v>
      </x:c>
      <x:c r="B15" s="6" t="str">
        <x:v>XHS_P01</x:v>
      </x:c>
      <x:c r="C15" s="6" t="str">
        <x:v>Xiaohongshu</x:v>
      </x:c>
      <x:c r="D15" s="6" t="str">
        <x:v>XHS_P01_CREATOR</x:v>
      </x:c>
      <x:c r="E15" s="6" t="str">
        <x:v>来了</x:v>
      </x:c>
      <x:c r="F15" s="6" t="str">
        <x:v>10-08</x:v>
      </x:c>
      <x:c r="G15" s="6" t="str"/>
      <x:c r="H15" s="6" t="str">
        <x:v>7.1</x:v>
      </x:c>
      <x:c r="I15" s="6" t="str">
        <x:v>Browser-visible accessibility text; manually transcribed and reviewed</x:v>
      </x:c>
      <x:c r="J15" s="6" t="str">
        <x:v>RESEARCH_WORKSPACE/Outputs/SaSa_Section_2_2/support/browser_evidence/XHS_P01_full.txt</x:v>
      </x:c>
      <x:c r="K15" s="6" t="str">
        <x:v>https://www.xiaohongshu.com/explore/6aad0c710000000026008cfa</x:v>
      </x:c>
      <x:c r="L15" s="6" t="str">
        <x:v>2026-10-19 to 2026-10-20 Hong Kong time</x:v>
      </x:c>
      <x:c r="M15" s="6" t="str">
        <x:v>unknown_year_MM-DD</x:v>
      </x:c>
    </x:row>
    <x:row r="16" ht="38" customHeight="1">
      <x:c r="A16" s="6" t="str">
        <x:v>XHS_P01_C08</x:v>
      </x:c>
      <x:c r="B16" s="6" t="str">
        <x:v>XHS_P01</x:v>
      </x:c>
      <x:c r="C16" s="6" t="str">
        <x:v>Xiaohongshu</x:v>
      </x:c>
      <x:c r="D16" s="6" t="str">
        <x:v>XHS_P01_U08</x:v>
      </x:c>
      <x:c r="E16" s="6" t="str">
        <x:v>老师 问问价 想要梅菲斯的妆 在香港亚博</x:v>
      </x:c>
      <x:c r="F16" s="6" t="str">
        <x:v>10-08</x:v>
      </x:c>
      <x:c r="G16" s="6" t="str"/>
      <x:c r="H16" s="6" t="n">
        <x:v>8</x:v>
      </x:c>
      <x:c r="I16" s="6" t="str">
        <x:v>Browser-visible accessibility text; manually transcribed and reviewed</x:v>
      </x:c>
      <x:c r="J16" s="6" t="str">
        <x:v>RESEARCH_WORKSPACE/Outputs/SaSa_Section_2_2/support/browser_evidence/XHS_P01_full.txt</x:v>
      </x:c>
      <x:c r="K16" s="6" t="str">
        <x:v>https://www.xiaohongshu.com/explore/6aad0c710000000026008cfa</x:v>
      </x:c>
      <x:c r="L16" s="6" t="str">
        <x:v>2026-10-19 to 2026-10-20 Hong Kong time</x:v>
      </x:c>
      <x:c r="M16" s="6" t="str">
        <x:v>unknown_year_MM-DD</x:v>
      </x:c>
    </x:row>
    <x:row r="17" ht="38" customHeight="1">
      <x:c r="A17" s="6" t="str">
        <x:v>XHS_P01_R08</x:v>
      </x:c>
      <x:c r="B17" s="6" t="str">
        <x:v>XHS_P01</x:v>
      </x:c>
      <x:c r="C17" s="6" t="str">
        <x:v>Xiaohongshu</x:v>
      </x:c>
      <x:c r="D17" s="6" t="str">
        <x:v>XHS_P01_CREATOR</x:v>
      </x:c>
      <x:c r="E17" s="6" t="str">
        <x:v>来了</x:v>
      </x:c>
      <x:c r="F17" s="6" t="str">
        <x:v>10-08</x:v>
      </x:c>
      <x:c r="G17" s="6" t="str"/>
      <x:c r="H17" s="6" t="str">
        <x:v>8.1</x:v>
      </x:c>
      <x:c r="I17" s="6" t="str">
        <x:v>Browser-visible accessibility text; manually transcribed and reviewed</x:v>
      </x:c>
      <x:c r="J17" s="6" t="str">
        <x:v>RESEARCH_WORKSPACE/Outputs/SaSa_Section_2_2/support/browser_evidence/XHS_P01_full.txt</x:v>
      </x:c>
      <x:c r="K17" s="6" t="str">
        <x:v>https://www.xiaohongshu.com/explore/6aad0c710000000026008cfa</x:v>
      </x:c>
      <x:c r="L17" s="6" t="str">
        <x:v>2026-10-19 to 2026-10-20 Hong Kong time</x:v>
      </x:c>
      <x:c r="M17" s="6" t="str">
        <x:v>unknown_year_MM-DD</x:v>
      </x:c>
    </x:row>
    <x:row r="18" ht="38" customHeight="1">
      <x:c r="A18" s="6" t="str">
        <x:v>XHS_P01_C09</x:v>
      </x:c>
      <x:c r="B18" s="6" t="str">
        <x:v>XHS_P01</x:v>
      </x:c>
      <x:c r="C18" s="6" t="str">
        <x:v>Xiaohongshu</x:v>
      </x:c>
      <x:c r="D18" s="6" t="str">
        <x:v>XHS_P01_U09</x:v>
      </x:c>
      <x:c r="E18" s="6" t="str">
        <x:v>問</x:v>
      </x:c>
      <x:c r="F18" s="6" t="str">
        <x:v>7天前</x:v>
      </x:c>
      <x:c r="G18" s="6" t="str"/>
      <x:c r="H18" s="6" t="n">
        <x:v>9</x:v>
      </x:c>
      <x:c r="I18" s="6" t="str">
        <x:v>Browser-visible accessibility text; manually transcribed and reviewed</x:v>
      </x:c>
      <x:c r="J18" s="6" t="str">
        <x:v>RESEARCH_WORKSPACE/Outputs/SaSa_Section_2_2/support/browser_evidence/XHS_P01_full.txt</x:v>
      </x:c>
      <x:c r="K18" s="6" t="str">
        <x:v>https://www.xiaohongshu.com/explore/6aad0c710000000026008cfa</x:v>
      </x:c>
      <x:c r="L18" s="6" t="str">
        <x:v>2026-10-19 to 2026-10-20 Hong Kong time</x:v>
      </x:c>
      <x:c r="M18" s="6" t="str">
        <x:v>supplemental_2026_to_collection_date</x:v>
      </x:c>
    </x:row>
    <x:row r="19" ht="38" customHeight="1">
      <x:c r="A19" s="6" t="str">
        <x:v>XHS_P01_R09</x:v>
      </x:c>
      <x:c r="B19" s="6" t="str">
        <x:v>XHS_P01</x:v>
      </x:c>
      <x:c r="C19" s="6" t="str">
        <x:v>Xiaohongshu</x:v>
      </x:c>
      <x:c r="D19" s="6" t="str">
        <x:v>XHS_P01_CREATOR</x:v>
      </x:c>
      <x:c r="E19" s="6" t="str">
        <x:v>来了</x:v>
      </x:c>
      <x:c r="F19" s="6" t="str">
        <x:v>7天前</x:v>
      </x:c>
      <x:c r="G19" s="6" t="str"/>
      <x:c r="H19" s="6" t="str">
        <x:v>9.1</x:v>
      </x:c>
      <x:c r="I19" s="6" t="str">
        <x:v>Browser-visible accessibility text; manually transcribed and reviewed</x:v>
      </x:c>
      <x:c r="J19" s="6" t="str">
        <x:v>RESEARCH_WORKSPACE/Outputs/SaSa_Section_2_2/support/browser_evidence/XHS_P01_full.txt</x:v>
      </x:c>
      <x:c r="K19" s="6" t="str">
        <x:v>https://www.xiaohongshu.com/explore/6aad0c710000000026008cfa</x:v>
      </x:c>
      <x:c r="L19" s="6" t="str">
        <x:v>2026-10-19 to 2026-10-20 Hong Kong time</x:v>
      </x:c>
      <x:c r="M19" s="6" t="str">
        <x:v>supplemental_2026_to_collection_date</x:v>
      </x:c>
    </x:row>
    <x:row r="20" ht="38" customHeight="1">
      <x:c r="A20" s="6" t="str">
        <x:v>XHS_P01_C10</x:v>
      </x:c>
      <x:c r="B20" s="6" t="str">
        <x:v>XHS_P01</x:v>
      </x:c>
      <x:c r="C20" s="6" t="str">
        <x:v>Xiaohongshu</x:v>
      </x:c>
      <x:c r="D20" s="6" t="str">
        <x:v>XHS_P01_U10</x:v>
      </x:c>
      <x:c r="E20" s="6" t="str">
        <x:v>老师，问价</x:v>
      </x:c>
      <x:c r="F20" s="6" t="str">
        <x:v>10-11</x:v>
      </x:c>
      <x:c r="G20" s="6" t="str"/>
      <x:c r="H20" s="6" t="n">
        <x:v>10</x:v>
      </x:c>
      <x:c r="I20" s="6" t="str">
        <x:v>Browser-visible accessibility text; manually transcribed and reviewed</x:v>
      </x:c>
      <x:c r="J20" s="6" t="str">
        <x:v>RESEARCH_WORKSPACE/Outputs/SaSa_Section_2_2/support/browser_evidence/XHS_P01_full.txt</x:v>
      </x:c>
      <x:c r="K20" s="6" t="str">
        <x:v>https://www.xiaohongshu.com/explore/6aad0c710000000026008cfa</x:v>
      </x:c>
      <x:c r="L20" s="6" t="str">
        <x:v>2026-10-19 to 2026-10-20 Hong Kong time</x:v>
      </x:c>
      <x:c r="M20" s="6" t="str">
        <x:v>unknown_year_MM-DD</x:v>
      </x:c>
    </x:row>
    <x:row r="21" ht="38" customHeight="1">
      <x:c r="A21" s="6" t="str">
        <x:v>XHS_P01_R10</x:v>
      </x:c>
      <x:c r="B21" s="6" t="str">
        <x:v>XHS_P01</x:v>
      </x:c>
      <x:c r="C21" s="6" t="str">
        <x:v>Xiaohongshu</x:v>
      </x:c>
      <x:c r="D21" s="6" t="str">
        <x:v>XHS_P01_CREATOR</x:v>
      </x:c>
      <x:c r="E21" s="6" t="str">
        <x:v>来了</x:v>
      </x:c>
      <x:c r="F21" s="6" t="str">
        <x:v>10-11</x:v>
      </x:c>
      <x:c r="G21" s="6" t="str"/>
      <x:c r="H21" s="6" t="str">
        <x:v>10.1</x:v>
      </x:c>
      <x:c r="I21" s="6" t="str">
        <x:v>Browser-visible accessibility text; manually transcribed and reviewed</x:v>
      </x:c>
      <x:c r="J21" s="6" t="str">
        <x:v>RESEARCH_WORKSPACE/Outputs/SaSa_Section_2_2/support/browser_evidence/XHS_P01_full.txt</x:v>
      </x:c>
      <x:c r="K21" s="6" t="str">
        <x:v>https://www.xiaohongshu.com/explore/6aad0c710000000026008cfa</x:v>
      </x:c>
      <x:c r="L21" s="6" t="str">
        <x:v>2026-10-19 to 2026-10-20 Hong Kong time</x:v>
      </x:c>
      <x:c r="M21" s="6" t="str">
        <x:v>unknown_year_MM-DD</x:v>
      </x:c>
    </x:row>
    <x:row r="22" ht="38" customHeight="1">
      <x:c r="A22" s="6" t="str">
        <x:v>XHS_P01_C11</x:v>
      </x:c>
      <x:c r="B22" s="6" t="str">
        <x:v>XHS_P01</x:v>
      </x:c>
      <x:c r="C22" s="6" t="str">
        <x:v>Xiaohongshu</x:v>
      </x:c>
      <x:c r="D22" s="6" t="str">
        <x:v>XHS_P01_U11</x:v>
      </x:c>
      <x:c r="E22" s="6" t="str">
        <x:v>礼貌问价</x:v>
      </x:c>
      <x:c r="F22" s="6" t="str">
        <x:v>10-05</x:v>
      </x:c>
      <x:c r="G22" s="6" t="str"/>
      <x:c r="H22" s="6" t="n">
        <x:v>11</x:v>
      </x:c>
      <x:c r="I22" s="6" t="str">
        <x:v>Browser-visible accessibility text; manually transcribed and reviewed</x:v>
      </x:c>
      <x:c r="J22" s="6" t="str">
        <x:v>RESEARCH_WORKSPACE/Outputs/SaSa_Section_2_2/support/browser_evidence/XHS_P01_full.txt</x:v>
      </x:c>
      <x:c r="K22" s="6" t="str">
        <x:v>https://www.xiaohongshu.com/explore/6aad0c710000000026008cfa</x:v>
      </x:c>
      <x:c r="L22" s="6" t="str">
        <x:v>2026-10-19 to 2026-10-20 Hong Kong time</x:v>
      </x:c>
      <x:c r="M22" s="6" t="str">
        <x:v>unknown_year_MM-DD</x:v>
      </x:c>
    </x:row>
    <x:row r="23" ht="38" customHeight="1">
      <x:c r="A23" s="6" t="str">
        <x:v>XHS_P01_R11</x:v>
      </x:c>
      <x:c r="B23" s="6" t="str">
        <x:v>XHS_P01</x:v>
      </x:c>
      <x:c r="C23" s="6" t="str">
        <x:v>Xiaohongshu</x:v>
      </x:c>
      <x:c r="D23" s="6" t="str">
        <x:v>XHS_P01_CREATOR</x:v>
      </x:c>
      <x:c r="E23" s="6" t="str">
        <x:v>来了</x:v>
      </x:c>
      <x:c r="F23" s="6" t="str">
        <x:v>10-05</x:v>
      </x:c>
      <x:c r="G23" s="6" t="str"/>
      <x:c r="H23" s="6" t="str">
        <x:v>11.1</x:v>
      </x:c>
      <x:c r="I23" s="6" t="str">
        <x:v>Browser-visible accessibility text; manually transcribed and reviewed</x:v>
      </x:c>
      <x:c r="J23" s="6" t="str">
        <x:v>RESEARCH_WORKSPACE/Outputs/SaSa_Section_2_2/support/browser_evidence/XHS_P01_full.txt</x:v>
      </x:c>
      <x:c r="K23" s="6" t="str">
        <x:v>https://www.xiaohongshu.com/explore/6aad0c710000000026008cfa</x:v>
      </x:c>
      <x:c r="L23" s="6" t="str">
        <x:v>2026-10-19 to 2026-10-20 Hong Kong time</x:v>
      </x:c>
      <x:c r="M23" s="6" t="str">
        <x:v>unknown_year_MM-DD</x:v>
      </x:c>
    </x:row>
    <x:row r="24" ht="38" customHeight="1">
      <x:c r="A24" s="6" t="str">
        <x:v>XHS_P01_C12</x:v>
      </x:c>
      <x:c r="B24" s="6" t="str">
        <x:v>XHS_P01</x:v>
      </x:c>
      <x:c r="C24" s="6" t="str">
        <x:v>Xiaohongshu</x:v>
      </x:c>
      <x:c r="D24" s="6" t="str">
        <x:v>XHS_P01_U12</x:v>
      </x:c>
      <x:c r="E24" s="6" t="str">
        <x:v>问价</x:v>
      </x:c>
      <x:c r="F24" s="6" t="str">
        <x:v>10-10</x:v>
      </x:c>
      <x:c r="G24" s="6" t="str"/>
      <x:c r="H24" s="6" t="n">
        <x:v>12</x:v>
      </x:c>
      <x:c r="I24" s="6" t="str">
        <x:v>Browser-visible accessibility text; manually transcribed and reviewed</x:v>
      </x:c>
      <x:c r="J24" s="6" t="str">
        <x:v>RESEARCH_WORKSPACE/Outputs/SaSa_Section_2_2/support/browser_evidence/XHS_P01_full.txt</x:v>
      </x:c>
      <x:c r="K24" s="6" t="str">
        <x:v>https://www.xiaohongshu.com/explore/6aad0c710000000026008cfa</x:v>
      </x:c>
      <x:c r="L24" s="6" t="str">
        <x:v>2026-10-19 to 2026-10-20 Hong Kong time</x:v>
      </x:c>
      <x:c r="M24" s="6" t="str">
        <x:v>unknown_year_MM-DD</x:v>
      </x:c>
    </x:row>
    <x:row r="25" ht="38" customHeight="1">
      <x:c r="A25" s="6" t="str">
        <x:v>XHS_P01_R12</x:v>
      </x:c>
      <x:c r="B25" s="6" t="str">
        <x:v>XHS_P01</x:v>
      </x:c>
      <x:c r="C25" s="6" t="str">
        <x:v>Xiaohongshu</x:v>
      </x:c>
      <x:c r="D25" s="6" t="str">
        <x:v>XHS_P01_CREATOR</x:v>
      </x:c>
      <x:c r="E25" s="6" t="str">
        <x:v>来了</x:v>
      </x:c>
      <x:c r="F25" s="6" t="str">
        <x:v>10-10</x:v>
      </x:c>
      <x:c r="G25" s="6" t="str"/>
      <x:c r="H25" s="6" t="str">
        <x:v>12.1</x:v>
      </x:c>
      <x:c r="I25" s="6" t="str">
        <x:v>Browser-visible accessibility text; manually transcribed and reviewed</x:v>
      </x:c>
      <x:c r="J25" s="6" t="str">
        <x:v>RESEARCH_WORKSPACE/Outputs/SaSa_Section_2_2/support/browser_evidence/XHS_P01_full.txt</x:v>
      </x:c>
      <x:c r="K25" s="6" t="str">
        <x:v>https://www.xiaohongshu.com/explore/6aad0c710000000026008cfa</x:v>
      </x:c>
      <x:c r="L25" s="6" t="str">
        <x:v>2026-10-19 to 2026-10-20 Hong Kong time</x:v>
      </x:c>
      <x:c r="M25" s="6" t="str">
        <x:v>unknown_year_MM-DD</x:v>
      </x:c>
    </x:row>
    <x:row r="26" ht="52" customHeight="1">
      <x:c r="A26" s="6" t="str">
        <x:v>XHS_P02_C01</x:v>
      </x:c>
      <x:c r="B26" s="6" t="str">
        <x:v>XHS_P02</x:v>
      </x:c>
      <x:c r="C26" s="6" t="str">
        <x:v>Xiaohongshu</x:v>
      </x:c>
      <x:c r="D26" s="6" t="str">
        <x:v>XHS_P02_U01</x:v>
      </x:c>
      <x:c r="E26" s="6" t="str">
        <x:v>我出汗很多 那天晚上六点五十画好的 p1是刚画好时拍的 p2是十五分钟后猛出汗 放大看能看到有一条白色颜料流下来 但是出汗不多的话其实还好 会喷定妆喷雾</x:v>
      </x:c>
      <x:c r="F26" s="6" t="str">
        <x:v>10-04</x:v>
      </x:c>
      <x:c r="G26" s="6" t="str"/>
      <x:c r="H26" s="6" t="n">
        <x:v>1</x:v>
      </x:c>
      <x:c r="I26" s="6" t="str">
        <x:v>Browser-visible accessibility text; manually transcribed and reviewed</x:v>
      </x:c>
      <x:c r="J26" s="6" t="str">
        <x:v>RESEARCH_WORKSPACE/Outputs/SaSa_Section_2_2/support/browser_evidence/XHS_P02_full.txt</x:v>
      </x:c>
      <x:c r="K26" s="6" t="str">
        <x:v>https://www.xiaohongshu.com/explore/6ac1ca9f000000000200cda8</x:v>
      </x:c>
      <x:c r="L26" s="6" t="str">
        <x:v>2026-10-19 to 2026-10-20 Hong Kong time</x:v>
      </x:c>
      <x:c r="M26" s="6" t="str">
        <x:v>unknown_year_MM-DD</x:v>
      </x:c>
    </x:row>
    <x:row r="27" ht="38" customHeight="1">
      <x:c r="A27" s="6" t="str">
        <x:v>XHS_P02_R01</x:v>
      </x:c>
      <x:c r="B27" s="6" t="str">
        <x:v>XHS_P02</x:v>
      </x:c>
      <x:c r="C27" s="6" t="str">
        <x:v>Xiaohongshu</x:v>
      </x:c>
      <x:c r="D27" s="6" t="str">
        <x:v>XHS_P02_U02</x:v>
      </x:c>
      <x:c r="E27" s="6" t="str">
        <x:v>你好，请问一下画一次要多少钱？</x:v>
      </x:c>
      <x:c r="F27" s="6" t="str">
        <x:v>6天前</x:v>
      </x:c>
      <x:c r="G27" s="6" t="str"/>
      <x:c r="H27" s="6" t="str">
        <x:v>1.1</x:v>
      </x:c>
      <x:c r="I27" s="6" t="str">
        <x:v>Browser-visible accessibility text; manually transcribed and reviewed</x:v>
      </x:c>
      <x:c r="J27" s="6" t="str">
        <x:v>RESEARCH_WORKSPACE/Outputs/SaSa_Section_2_2/support/browser_evidence/XHS_P02_full.txt</x:v>
      </x:c>
      <x:c r="K27" s="6" t="str">
        <x:v>https://www.xiaohongshu.com/explore/6ac1ca9f000000000200cda8</x:v>
      </x:c>
      <x:c r="L27" s="6" t="str">
        <x:v>2026-10-19 to 2026-10-20 Hong Kong time</x:v>
      </x:c>
      <x:c r="M27" s="6" t="str">
        <x:v>supplemental_2026_to_collection_date</x:v>
      </x:c>
    </x:row>
    <x:row r="28" ht="38" customHeight="1">
      <x:c r="A28" s="6" t="str">
        <x:v>XHS_P02_C02</x:v>
      </x:c>
      <x:c r="B28" s="6" t="str">
        <x:v>XHS_P02</x:v>
      </x:c>
      <x:c r="C28" s="6" t="str">
        <x:v>Xiaohongshu</x:v>
      </x:c>
      <x:c r="D28" s="6" t="str">
        <x:v>XHS_P02_U03</x:v>
      </x:c>
      <x:c r="E28" s="6" t="str">
        <x:v>可以看看上门化妆 在迪士尼门口化完进去</x:v>
      </x:c>
      <x:c r="F28" s="6" t="str">
        <x:v>10-06</x:v>
      </x:c>
      <x:c r="G28" s="6" t="str"/>
      <x:c r="H28" s="6" t="n">
        <x:v>2</x:v>
      </x:c>
      <x:c r="I28" s="6" t="str">
        <x:v>Browser-visible accessibility text; manually transcribed and reviewed</x:v>
      </x:c>
      <x:c r="J28" s="6" t="str">
        <x:v>RESEARCH_WORKSPACE/Outputs/SaSa_Section_2_2/support/browser_evidence/XHS_P02_full.txt</x:v>
      </x:c>
      <x:c r="K28" s="6" t="str">
        <x:v>https://www.xiaohongshu.com/explore/6ac1ca9f000000000200cda8</x:v>
      </x:c>
      <x:c r="L28" s="6" t="str">
        <x:v>2026-10-19 to 2026-10-20 Hong Kong time</x:v>
      </x:c>
      <x:c r="M28" s="6" t="str">
        <x:v>unknown_year_MM-DD</x:v>
      </x:c>
    </x:row>
    <x:row r="29" ht="38" customHeight="1">
      <x:c r="A29" s="6" t="str">
        <x:v>XHS_P02_C03</x:v>
      </x:c>
      <x:c r="B29" s="6" t="str">
        <x:v>XHS_P02</x:v>
      </x:c>
      <x:c r="C29" s="6" t="str">
        <x:v>Xiaohongshu</x:v>
      </x:c>
      <x:c r="D29" s="6" t="str">
        <x:v>XHS_P02_U04</x:v>
      </x:c>
      <x:c r="E29" s="6" t="str">
        <x:v>哈喽 可上门化妆</x:v>
      </x:c>
      <x:c r="F29" s="6" t="str">
        <x:v>10-04</x:v>
      </x:c>
      <x:c r="G29" s="6" t="str"/>
      <x:c r="H29" s="6" t="n">
        <x:v>3</x:v>
      </x:c>
      <x:c r="I29" s="6" t="str">
        <x:v>Browser-visible accessibility text; manually transcribed and reviewed</x:v>
      </x:c>
      <x:c r="J29" s="6" t="str">
        <x:v>RESEARCH_WORKSPACE/Outputs/SaSa_Section_2_2/support/browser_evidence/XHS_P02_full.txt</x:v>
      </x:c>
      <x:c r="K29" s="6" t="str">
        <x:v>https://www.xiaohongshu.com/explore/6ac1ca9f000000000200cda8</x:v>
      </x:c>
      <x:c r="L29" s="6" t="str">
        <x:v>2026-10-19 to 2026-10-20 Hong Kong time</x:v>
      </x:c>
      <x:c r="M29" s="6" t="str">
        <x:v>unknown_year_MM-DD</x:v>
      </x:c>
    </x:row>
    <x:row r="30" ht="38" customHeight="1">
      <x:c r="A30" s="6" t="str">
        <x:v>XHS_P02_C04</x:v>
      </x:c>
      <x:c r="B30" s="6" t="str">
        <x:v>XHS_P02</x:v>
      </x:c>
      <x:c r="C30" s="6" t="str">
        <x:v>Xiaohongshu</x:v>
      </x:c>
      <x:c r="D30" s="6" t="str">
        <x:v>XHS_P02_U05</x:v>
      </x:c>
      <x:c r="E30" s="6" t="str">
        <x:v>上门化妆🙋🏻‍♀️</x:v>
      </x:c>
      <x:c r="F30" s="6" t="str">
        <x:v>10-04</x:v>
      </x:c>
      <x:c r="G30" s="6" t="str"/>
      <x:c r="H30" s="6" t="n">
        <x:v>4</x:v>
      </x:c>
      <x:c r="I30" s="6" t="str">
        <x:v>Browser-visible accessibility text; manually transcribed and reviewed</x:v>
      </x:c>
      <x:c r="J30" s="6" t="str">
        <x:v>RESEARCH_WORKSPACE/Outputs/SaSa_Section_2_2/support/browser_evidence/XHS_P02_full.txt</x:v>
      </x:c>
      <x:c r="K30" s="6" t="str">
        <x:v>https://www.xiaohongshu.com/explore/6ac1ca9f000000000200cda8</x:v>
      </x:c>
      <x:c r="L30" s="6" t="str">
        <x:v>2026-10-19 to 2026-10-20 Hong Kong time</x:v>
      </x:c>
      <x:c r="M30" s="6" t="str">
        <x:v>unknown_year_MM-DD</x:v>
      </x:c>
    </x:row>
    <x:row r="31" ht="38" customHeight="1">
      <x:c r="A31" s="6" t="str">
        <x:v>XHS_P03_C01</x:v>
      </x:c>
      <x:c r="B31" s="6" t="str">
        <x:v>XHS_P03</x:v>
      </x:c>
      <x:c r="C31" s="6" t="str">
        <x:v>Xiaohongshu</x:v>
      </x:c>
      <x:c r="D31" s="6" t="str">
        <x:v>XHS_P03_U01</x:v>
      </x:c>
      <x:c r="E31" s="6" t="str">
        <x:v>很酷诶</x:v>
      </x:c>
      <x:c r="F31" s="6" t="str">
        <x:v>2025-10-31</x:v>
      </x:c>
      <x:c r="G31" s="6" t="str"/>
      <x:c r="H31" s="6" t="n">
        <x:v>1</x:v>
      </x:c>
      <x:c r="I31" s="6" t="str">
        <x:v>Browser-rendered DOM text; manually transcribed and reviewed</x:v>
      </x:c>
      <x:c r="J31" s="6" t="str">
        <x:v>RESEARCH_WORKSPACE/Outputs/SaSa_Section_2_2/support/browser_evidence/XHS_P03_full.txt</x:v>
      </x:c>
      <x:c r="K31" s="6" t="str">
        <x:v>https://www.xiaohongshu.com/explore/6903aff40000000007021f33</x:v>
      </x:c>
      <x:c r="L31" s="6" t="str">
        <x:v>2026-10-19 to 2026-10-20 Hong Kong time</x:v>
      </x:c>
      <x:c r="M31" s="6" t="str">
        <x:v>within_2025_sep_oct</x:v>
      </x:c>
    </x:row>
    <x:row r="32" ht="38" customHeight="1">
      <x:c r="A32" s="6" t="str">
        <x:v>XHS_P05_C01</x:v>
      </x:c>
      <x:c r="B32" s="6" t="str">
        <x:v>XHS_P05</x:v>
      </x:c>
      <x:c r="C32" s="6" t="str">
        <x:v>Xiaohongshu</x:v>
      </x:c>
      <x:c r="D32" s="6" t="str">
        <x:v>XHS_P05_U01</x:v>
      </x:c>
      <x:c r="E32" s="6" t="str">
        <x:v>好想知道是什么睫毛</x:v>
      </x:c>
      <x:c r="F32" s="6" t="str">
        <x:v>3天前</x:v>
      </x:c>
      <x:c r="G32" s="6" t="str"/>
      <x:c r="H32" s="6" t="n">
        <x:v>1</x:v>
      </x:c>
      <x:c r="I32" s="6" t="str">
        <x:v>Browser-visible accessibility text; manually transcribed and reviewed</x:v>
      </x:c>
      <x:c r="J32" s="6" t="str">
        <x:v>RESEARCH_WORKSPACE/Outputs/SaSa_Section_2_2/support/browser_evidence/XHS_P05_full.txt</x:v>
      </x:c>
      <x:c r="K32" s="6" t="str">
        <x:v>https://www.xiaohongshu.com/explore/6ace0374000000001801a7e2</x:v>
      </x:c>
      <x:c r="L32" s="6" t="str">
        <x:v>2026-10-19 to 2026-10-20 Hong Kong time</x:v>
      </x:c>
      <x:c r="M32" s="6" t="str">
        <x:v>supplemental_2026_to_collection_date</x:v>
      </x:c>
    </x:row>
    <x:row r="33" ht="38" customHeight="1">
      <x:c r="A33" s="6" t="str">
        <x:v>XHS_P05_R01</x:v>
      </x:c>
      <x:c r="B33" s="6" t="str">
        <x:v>XHS_P05</x:v>
      </x:c>
      <x:c r="C33" s="6" t="str">
        <x:v>Xiaohongshu</x:v>
      </x:c>
      <x:c r="D33" s="6" t="str">
        <x:v>XHS_P05_CREATOR</x:v>
      </x:c>
      <x:c r="E33" s="6" t="str">
        <x:v>可糕假睫毛垂耳兔婴儿弯</x:v>
      </x:c>
      <x:c r="F33" s="6" t="str">
        <x:v>3天前</x:v>
      </x:c>
      <x:c r="G33" s="6" t="str"/>
      <x:c r="H33" s="6" t="str">
        <x:v>1.1</x:v>
      </x:c>
      <x:c r="I33" s="6" t="str">
        <x:v>Browser-visible accessibility text; manually transcribed and reviewed</x:v>
      </x:c>
      <x:c r="J33" s="6" t="str">
        <x:v>RESEARCH_WORKSPACE/Outputs/SaSa_Section_2_2/support/browser_evidence/XHS_P05_full.txt</x:v>
      </x:c>
      <x:c r="K33" s="6" t="str">
        <x:v>https://www.xiaohongshu.com/explore/6ace0374000000001801a7e2</x:v>
      </x:c>
      <x:c r="L33" s="6" t="str">
        <x:v>2026-10-19 to 2026-10-20 Hong Kong time</x:v>
      </x:c>
      <x:c r="M33" s="6" t="str">
        <x:v>supplemental_2026_to_collection_date</x:v>
      </x:c>
    </x:row>
    <x:row r="34" ht="38" customHeight="1">
      <x:c r="A34" s="6" t="str">
        <x:v>XHS_P05_C02</x:v>
      </x:c>
      <x:c r="B34" s="6" t="str">
        <x:v>XHS_P05</x:v>
      </x:c>
      <x:c r="C34" s="6" t="str">
        <x:v>Xiaohongshu</x:v>
      </x:c>
      <x:c r="D34" s="6" t="str">
        <x:v>XHS_P05_U02</x:v>
      </x:c>
      <x:c r="E34" s="6" t="str">
        <x:v>宝子这个假发谁家的呀</x:v>
      </x:c>
      <x:c r="F34" s="6" t="str">
        <x:v>6天前</x:v>
      </x:c>
      <x:c r="G34" s="6" t="str"/>
      <x:c r="H34" s="6" t="n">
        <x:v>2</x:v>
      </x:c>
      <x:c r="I34" s="6" t="str">
        <x:v>Browser-visible accessibility text; manually transcribed and reviewed</x:v>
      </x:c>
      <x:c r="J34" s="6" t="str">
        <x:v>RESEARCH_WORKSPACE/Outputs/SaSa_Section_2_2/support/browser_evidence/XHS_P05_full.txt</x:v>
      </x:c>
      <x:c r="K34" s="6" t="str">
        <x:v>https://www.xiaohongshu.com/explore/6ace0374000000001801a7e2</x:v>
      </x:c>
      <x:c r="L34" s="6" t="str">
        <x:v>2026-10-19 to 2026-10-20 Hong Kong time</x:v>
      </x:c>
      <x:c r="M34" s="6" t="str">
        <x:v>supplemental_2026_to_collection_date</x:v>
      </x:c>
    </x:row>
    <x:row r="35" ht="38" customHeight="1">
      <x:c r="A35" s="6" t="str">
        <x:v>XHS_P05_R02</x:v>
      </x:c>
      <x:c r="B35" s="6" t="str">
        <x:v>XHS_P05</x:v>
      </x:c>
      <x:c r="C35" s="6" t="str">
        <x:v>Xiaohongshu</x:v>
      </x:c>
      <x:c r="D35" s="6" t="str">
        <x:v>XHS_P05_CREATOR</x:v>
      </x:c>
      <x:c r="E35" s="6" t="str">
        <x:v>粉丝👗</x:v>
      </x:c>
      <x:c r="F35" s="6" t="str">
        <x:v>5天前</x:v>
      </x:c>
      <x:c r="G35" s="6" t="str"/>
      <x:c r="H35" s="6" t="str">
        <x:v>2.1</x:v>
      </x:c>
      <x:c r="I35" s="6" t="str">
        <x:v>Browser-visible accessibility text; manually transcribed and reviewed</x:v>
      </x:c>
      <x:c r="J35" s="6" t="str">
        <x:v>RESEARCH_WORKSPACE/Outputs/SaSa_Section_2_2/support/browser_evidence/XHS_P05_full.txt</x:v>
      </x:c>
      <x:c r="K35" s="6" t="str">
        <x:v>https://www.xiaohongshu.com/explore/6ace0374000000001801a7e2</x:v>
      </x:c>
      <x:c r="L35" s="6" t="str">
        <x:v>2026-10-19 to 2026-10-20 Hong Kong time</x:v>
      </x:c>
      <x:c r="M35" s="6" t="str">
        <x:v>supplemental_2026_to_collection_date</x:v>
      </x:c>
    </x:row>
    <x:row r="36" ht="38" customHeight="1">
      <x:c r="A36" s="6" t="str">
        <x:v>XHS_P05_C03</x:v>
      </x:c>
      <x:c r="B36" s="6" t="str">
        <x:v>XHS_P05</x:v>
      </x:c>
      <x:c r="C36" s="6" t="str">
        <x:v>Xiaohongshu</x:v>
      </x:c>
      <x:c r="D36" s="6" t="str">
        <x:v>XHS_P05_U03</x:v>
      </x:c>
      <x:c r="E36" s="6" t="str">
        <x:v>宝宝问问美瞳花色</x:v>
      </x:c>
      <x:c r="F36" s="6" t="str">
        <x:v>5天前</x:v>
      </x:c>
      <x:c r="G36" s="6" t="str"/>
      <x:c r="H36" s="6" t="n">
        <x:v>3</x:v>
      </x:c>
      <x:c r="I36" s="6" t="str">
        <x:v>Browser-visible accessibility text; manually transcribed and reviewed</x:v>
      </x:c>
      <x:c r="J36" s="6" t="str">
        <x:v>RESEARCH_WORKSPACE/Outputs/SaSa_Section_2_2/support/browser_evidence/XHS_P05_full.txt</x:v>
      </x:c>
      <x:c r="K36" s="6" t="str">
        <x:v>https://www.xiaohongshu.com/explore/6ace0374000000001801a7e2</x:v>
      </x:c>
      <x:c r="L36" s="6" t="str">
        <x:v>2026-10-19 to 2026-10-20 Hong Kong time</x:v>
      </x:c>
      <x:c r="M36" s="6" t="str">
        <x:v>supplemental_2026_to_collection_date</x:v>
      </x:c>
    </x:row>
    <x:row r="37" ht="38" customHeight="1">
      <x:c r="A37" s="6" t="str">
        <x:v>XHS_P05_R03</x:v>
      </x:c>
      <x:c r="B37" s="6" t="str">
        <x:v>XHS_P05</x:v>
      </x:c>
      <x:c r="C37" s="6" t="str">
        <x:v>Xiaohongshu</x:v>
      </x:c>
      <x:c r="D37" s="6" t="str">
        <x:v>XHS_P05_CREATOR</x:v>
      </x:c>
      <x:c r="E37" s="6" t="str">
        <x:v>sakura vision 塞勒涅之眠 月中上🍠🎶</x:v>
      </x:c>
      <x:c r="F37" s="6" t="str">
        <x:v>5天前</x:v>
      </x:c>
      <x:c r="G37" s="6" t="str"/>
      <x:c r="H37" s="6" t="str">
        <x:v>3.1</x:v>
      </x:c>
      <x:c r="I37" s="6" t="str">
        <x:v>Browser-visible accessibility text; manually transcribed and reviewed</x:v>
      </x:c>
      <x:c r="J37" s="6" t="str">
        <x:v>RESEARCH_WORKSPACE/Outputs/SaSa_Section_2_2/support/browser_evidence/XHS_P05_full.txt</x:v>
      </x:c>
      <x:c r="K37" s="6" t="str">
        <x:v>https://www.xiaohongshu.com/explore/6ace0374000000001801a7e2</x:v>
      </x:c>
      <x:c r="L37" s="6" t="str">
        <x:v>2026-10-19 to 2026-10-20 Hong Kong time</x:v>
      </x:c>
      <x:c r="M37" s="6" t="str">
        <x:v>supplemental_2026_to_collection_date</x:v>
      </x:c>
    </x:row>
    <x:row r="38" ht="38" customHeight="1">
      <x:c r="A38" s="6" t="str">
        <x:v>XHS_P05_C04</x:v>
      </x:c>
      <x:c r="B38" s="6" t="str">
        <x:v>XHS_P05</x:v>
      </x:c>
      <x:c r="C38" s="6" t="str">
        <x:v>Xiaohongshu</x:v>
      </x:c>
      <x:c r="D38" s="6" t="str">
        <x:v>XHS_P05_U04</x:v>
      </x:c>
      <x:c r="E38" s="6" t="str">
        <x:v>好好看</x:v>
      </x:c>
      <x:c r="F38" s="6" t="str">
        <x:v>5天前</x:v>
      </x:c>
      <x:c r="G38" s="6" t="str"/>
      <x:c r="H38" s="6" t="n">
        <x:v>4</x:v>
      </x:c>
      <x:c r="I38" s="6" t="str">
        <x:v>Browser-visible accessibility text; manually transcribed and reviewed</x:v>
      </x:c>
      <x:c r="J38" s="6" t="str">
        <x:v>RESEARCH_WORKSPACE/Outputs/SaSa_Section_2_2/support/browser_evidence/XHS_P05_full.txt</x:v>
      </x:c>
      <x:c r="K38" s="6" t="str">
        <x:v>https://www.xiaohongshu.com/explore/6ace0374000000001801a7e2</x:v>
      </x:c>
      <x:c r="L38" s="6" t="str">
        <x:v>2026-10-19 to 2026-10-20 Hong Kong time</x:v>
      </x:c>
      <x:c r="M38" s="6" t="str">
        <x:v>supplemental_2026_to_collection_date</x:v>
      </x:c>
    </x:row>
    <x:row r="39" ht="38" customHeight="1">
      <x:c r="A39" s="6" t="str">
        <x:v>XHS_P05_R04</x:v>
      </x:c>
      <x:c r="B39" s="6" t="str">
        <x:v>XHS_P05</x:v>
      </x:c>
      <x:c r="C39" s="6" t="str">
        <x:v>Xiaohongshu</x:v>
      </x:c>
      <x:c r="D39" s="6" t="str">
        <x:v>XHS_P05_CREATOR</x:v>
      </x:c>
      <x:c r="E39" s="6" t="str">
        <x:v>么么</x:v>
      </x:c>
      <x:c r="F39" s="6" t="str">
        <x:v>5天前</x:v>
      </x:c>
      <x:c r="G39" s="6" t="str"/>
      <x:c r="H39" s="6" t="str">
        <x:v>4.1</x:v>
      </x:c>
      <x:c r="I39" s="6" t="str">
        <x:v>Browser-visible accessibility text; manually transcribed and reviewed</x:v>
      </x:c>
      <x:c r="J39" s="6" t="str">
        <x:v>RESEARCH_WORKSPACE/Outputs/SaSa_Section_2_2/support/browser_evidence/XHS_P05_full.txt</x:v>
      </x:c>
      <x:c r="K39" s="6" t="str">
        <x:v>https://www.xiaohongshu.com/explore/6ace0374000000001801a7e2</x:v>
      </x:c>
      <x:c r="L39" s="6" t="str">
        <x:v>2026-10-19 to 2026-10-20 Hong Kong time</x:v>
      </x:c>
      <x:c r="M39" s="6" t="str">
        <x:v>supplemental_2026_to_collection_date</x:v>
      </x:c>
    </x:row>
    <x:row r="40" ht="38" customHeight="1">
      <x:c r="A40" s="6" t="str">
        <x:v>XHS_P05_C05</x:v>
      </x:c>
      <x:c r="B40" s="6" t="str">
        <x:v>XHS_P05</x:v>
      </x:c>
      <x:c r="C40" s="6" t="str">
        <x:v>Xiaohongshu</x:v>
      </x:c>
      <x:c r="D40" s="6" t="str">
        <x:v>XHS_P05_U05</x:v>
      </x:c>
      <x:c r="E40" s="6" t="str">
        <x:v>问问眼线液笔</x:v>
      </x:c>
      <x:c r="F40" s="6" t="str">
        <x:v>昨天 19:04</x:v>
      </x:c>
      <x:c r="G40" s="6" t="str"/>
      <x:c r="H40" s="6" t="n">
        <x:v>5</x:v>
      </x:c>
      <x:c r="I40" s="6" t="str">
        <x:v>Browser-visible accessibility text; manually transcribed and reviewed</x:v>
      </x:c>
      <x:c r="J40" s="6" t="str">
        <x:v>RESEARCH_WORKSPACE/Outputs/SaSa_Section_2_2/support/browser_evidence/XHS_P05_full.txt</x:v>
      </x:c>
      <x:c r="K40" s="6" t="str">
        <x:v>https://www.xiaohongshu.com/explore/6ace0374000000001801a7e2</x:v>
      </x:c>
      <x:c r="L40" s="6" t="str">
        <x:v>2026-10-19 to 2026-10-20 Hong Kong time</x:v>
      </x:c>
      <x:c r="M40" s="6" t="str">
        <x:v>supplemental_2026_to_collection_date</x:v>
      </x:c>
    </x:row>
    <x:row r="41" ht="38" customHeight="1">
      <x:c r="A41" s="6" t="str">
        <x:v>XHS_P05_C06</x:v>
      </x:c>
      <x:c r="B41" s="6" t="str">
        <x:v>XHS_P05</x:v>
      </x:c>
      <x:c r="C41" s="6" t="str">
        <x:v>Xiaohongshu</x:v>
      </x:c>
      <x:c r="D41" s="6" t="str">
        <x:v>XHS_P05_U06</x:v>
      </x:c>
      <x:c r="E41" s="6" t="str">
        <x:v>老师我是你第1.8万粉丝，哈哈，画的太好了</x:v>
      </x:c>
      <x:c r="F41" s="6" t="str">
        <x:v>5天前</x:v>
      </x:c>
      <x:c r="G41" s="6" t="str"/>
      <x:c r="H41" s="6" t="n">
        <x:v>6</x:v>
      </x:c>
      <x:c r="I41" s="6" t="str">
        <x:v>Browser-visible accessibility text; manually transcribed and reviewed</x:v>
      </x:c>
      <x:c r="J41" s="6" t="str">
        <x:v>RESEARCH_WORKSPACE/Outputs/SaSa_Section_2_2/support/browser_evidence/XHS_P05_full.txt</x:v>
      </x:c>
      <x:c r="K41" s="6" t="str">
        <x:v>https://www.xiaohongshu.com/explore/6ace0374000000001801a7e2</x:v>
      </x:c>
      <x:c r="L41" s="6" t="str">
        <x:v>2026-10-19 to 2026-10-20 Hong Kong time</x:v>
      </x:c>
      <x:c r="M41" s="6" t="str">
        <x:v>supplemental_2026_to_collection_date</x:v>
      </x:c>
    </x:row>
    <x:row r="42" ht="38" customHeight="1">
      <x:c r="A42" s="6" t="str">
        <x:v>XHS_P05_R06</x:v>
      </x:c>
      <x:c r="B42" s="6" t="str">
        <x:v>XHS_P05</x:v>
      </x:c>
      <x:c r="C42" s="6" t="str">
        <x:v>Xiaohongshu</x:v>
      </x:c>
      <x:c r="D42" s="6" t="str">
        <x:v>XHS_P05_CREATOR</x:v>
      </x:c>
      <x:c r="E42" s="6" t="str">
        <x:v>嘿嘿</x:v>
      </x:c>
      <x:c r="F42" s="6" t="str">
        <x:v>5天前</x:v>
      </x:c>
      <x:c r="G42" s="6" t="str"/>
      <x:c r="H42" s="6" t="str">
        <x:v>6.1</x:v>
      </x:c>
      <x:c r="I42" s="6" t="str">
        <x:v>Browser-visible accessibility text; manually transcribed and reviewed</x:v>
      </x:c>
      <x:c r="J42" s="6" t="str">
        <x:v>RESEARCH_WORKSPACE/Outputs/SaSa_Section_2_2/support/browser_evidence/XHS_P05_full.txt</x:v>
      </x:c>
      <x:c r="K42" s="6" t="str">
        <x:v>https://www.xiaohongshu.com/explore/6ace0374000000001801a7e2</x:v>
      </x:c>
      <x:c r="L42" s="6" t="str">
        <x:v>2026-10-19 to 2026-10-20 Hong Kong time</x:v>
      </x:c>
      <x:c r="M42" s="6" t="str">
        <x:v>supplemental_2026_to_collection_date</x:v>
      </x:c>
    </x:row>
    <x:row r="43" ht="38" customHeight="1">
      <x:c r="A43" s="6" t="str">
        <x:v>XHS_P05_C07</x:v>
      </x:c>
      <x:c r="B43" s="6" t="str">
        <x:v>XHS_P05</x:v>
      </x:c>
      <x:c r="C43" s="6" t="str">
        <x:v>Xiaohongshu</x:v>
      </x:c>
      <x:c r="D43" s="6" t="str">
        <x:v>XHS_P05_U07</x:v>
      </x:c>
      <x:c r="E43" s="6" t="str">
        <x:v>问问口红</x:v>
      </x:c>
      <x:c r="F43" s="6" t="str">
        <x:v>4天前</x:v>
      </x:c>
      <x:c r="G43" s="6" t="str"/>
      <x:c r="H43" s="6" t="n">
        <x:v>7</x:v>
      </x:c>
      <x:c r="I43" s="6" t="str">
        <x:v>Browser-visible accessibility text; manually transcribed and reviewed</x:v>
      </x:c>
      <x:c r="J43" s="6" t="str">
        <x:v>RESEARCH_WORKSPACE/Outputs/SaSa_Section_2_2/support/browser_evidence/XHS_P05_full.txt</x:v>
      </x:c>
      <x:c r="K43" s="6" t="str">
        <x:v>https://www.xiaohongshu.com/explore/6ace0374000000001801a7e2</x:v>
      </x:c>
      <x:c r="L43" s="6" t="str">
        <x:v>2026-10-19 to 2026-10-20 Hong Kong time</x:v>
      </x:c>
      <x:c r="M43" s="6" t="str">
        <x:v>supplemental_2026_to_collection_date</x:v>
      </x:c>
    </x:row>
    <x:row r="44" ht="38" customHeight="1">
      <x:c r="A44" s="6" t="str">
        <x:v>XHS_P05_C08</x:v>
      </x:c>
      <x:c r="B44" s="6" t="str">
        <x:v>XHS_P05</x:v>
      </x:c>
      <x:c r="C44" s="6" t="str">
        <x:v>Xiaohongshu</x:v>
      </x:c>
      <x:c r="D44" s="6" t="str">
        <x:v>XHS_P05_U08</x:v>
      </x:c>
      <x:c r="E44" s="6" t="str">
        <x:v>老师可以问问美瞳吗</x:v>
      </x:c>
      <x:c r="F44" s="6" t="str">
        <x:v>2天前</x:v>
      </x:c>
      <x:c r="G44" s="6" t="str"/>
      <x:c r="H44" s="6" t="n">
        <x:v>8</x:v>
      </x:c>
      <x:c r="I44" s="6" t="str">
        <x:v>Browser-visible accessibility text; manually transcribed and reviewed</x:v>
      </x:c>
      <x:c r="J44" s="6" t="str">
        <x:v>RESEARCH_WORKSPACE/Outputs/SaSa_Section_2_2/support/browser_evidence/XHS_P05_full.txt</x:v>
      </x:c>
      <x:c r="K44" s="6" t="str">
        <x:v>https://www.xiaohongshu.com/explore/6ace0374000000001801a7e2</x:v>
      </x:c>
      <x:c r="L44" s="6" t="str">
        <x:v>2026-10-19 to 2026-10-20 Hong Kong time</x:v>
      </x:c>
      <x:c r="M44" s="6" t="str">
        <x:v>supplemental_2026_to_collection_date</x:v>
      </x:c>
    </x:row>
    <x:row r="45" ht="38" customHeight="1">
      <x:c r="A45" s="6" t="str">
        <x:v>XHS_P05_C09</x:v>
      </x:c>
      <x:c r="B45" s="6" t="str">
        <x:v>XHS_P05</x:v>
      </x:c>
      <x:c r="C45" s="6" t="str">
        <x:v>Xiaohongshu</x:v>
      </x:c>
      <x:c r="D45" s="6" t="str">
        <x:v>XHS_P05_U09</x:v>
      </x:c>
      <x:c r="E45" s="6" t="str">
        <x:v>好美好美，蹲蹲头饰和衣服</x:v>
      </x:c>
      <x:c r="F45" s="6" t="str">
        <x:v>5天前</x:v>
      </x:c>
      <x:c r="G45" s="6" t="str"/>
      <x:c r="H45" s="6" t="n">
        <x:v>9</x:v>
      </x:c>
      <x:c r="I45" s="6" t="str">
        <x:v>Browser-visible accessibility text; manually transcribed and reviewed</x:v>
      </x:c>
      <x:c r="J45" s="6" t="str">
        <x:v>RESEARCH_WORKSPACE/Outputs/SaSa_Section_2_2/support/browser_evidence/XHS_P05_full.txt</x:v>
      </x:c>
      <x:c r="K45" s="6" t="str">
        <x:v>https://www.xiaohongshu.com/explore/6ace0374000000001801a7e2</x:v>
      </x:c>
      <x:c r="L45" s="6" t="str">
        <x:v>2026-10-19 to 2026-10-20 Hong Kong time</x:v>
      </x:c>
      <x:c r="M45" s="6" t="str">
        <x:v>supplemental_2026_to_collection_date</x:v>
      </x:c>
    </x:row>
    <x:row r="46" ht="38" customHeight="1">
      <x:c r="A46" s="6" t="str">
        <x:v>XHS_P05_C10</x:v>
      </x:c>
      <x:c r="B46" s="6" t="str">
        <x:v>XHS_P05</x:v>
      </x:c>
      <x:c r="C46" s="6" t="str">
        <x:v>Xiaohongshu</x:v>
      </x:c>
      <x:c r="D46" s="6" t="str">
        <x:v>XHS_P05_U10</x:v>
      </x:c>
      <x:c r="E46" s="6" t="str">
        <x:v>前排</x:v>
      </x:c>
      <x:c r="F46" s="6" t="str">
        <x:v>6天前</x:v>
      </x:c>
      <x:c r="G46" s="6" t="str"/>
      <x:c r="H46" s="6" t="n">
        <x:v>10</x:v>
      </x:c>
      <x:c r="I46" s="6" t="str">
        <x:v>Browser-visible accessibility text; manually transcribed and reviewed</x:v>
      </x:c>
      <x:c r="J46" s="6" t="str">
        <x:v>RESEARCH_WORKSPACE/Outputs/SaSa_Section_2_2/support/browser_evidence/XHS_P05_full.txt</x:v>
      </x:c>
      <x:c r="K46" s="6" t="str">
        <x:v>https://www.xiaohongshu.com/explore/6ace0374000000001801a7e2</x:v>
      </x:c>
      <x:c r="L46" s="6" t="str">
        <x:v>2026-10-19 to 2026-10-20 Hong Kong time</x:v>
      </x:c>
      <x:c r="M46" s="6" t="str">
        <x:v>supplemental_2026_to_collection_date</x:v>
      </x:c>
    </x:row>
    <x:row r="47" ht="38" customHeight="1">
      <x:c r="A47" s="6" t="str">
        <x:v>XHS_P05_R10</x:v>
      </x:c>
      <x:c r="B47" s="6" t="str">
        <x:v>XHS_P05</x:v>
      </x:c>
      <x:c r="C47" s="6" t="str">
        <x:v>Xiaohongshu</x:v>
      </x:c>
      <x:c r="D47" s="6" t="str">
        <x:v>XHS_P05_CREATOR</x:v>
      </x:c>
      <x:c r="E47" s="6" t="str"/>
      <x:c r="F47" s="6" t="str">
        <x:v>6天前</x:v>
      </x:c>
      <x:c r="G47" s="6" t="str"/>
      <x:c r="H47" s="6" t="str">
        <x:v>10.1</x:v>
      </x:c>
      <x:c r="I47" s="6" t="str">
        <x:v>Browser-visible accessibility text; manually transcribed and reviewed</x:v>
      </x:c>
      <x:c r="J47" s="6" t="str">
        <x:v>RESEARCH_WORKSPACE/Outputs/SaSa_Section_2_2/support/browser_evidence/XHS_P05_full.txt</x:v>
      </x:c>
      <x:c r="K47" s="6" t="str">
        <x:v>https://www.xiaohongshu.com/explore/6ace0374000000001801a7e2</x:v>
      </x:c>
      <x:c r="L47" s="6" t="str">
        <x:v>2026-10-19 to 2026-10-20 Hong Kong time</x:v>
      </x:c>
      <x:c r="M47" s="6" t="str">
        <x:v>supplemental_2026_to_collection_date</x:v>
      </x:c>
    </x:row>
    <x:row r="48" ht="38" customHeight="1">
      <x:c r="A48" s="6" t="str">
        <x:v>XHS_P06_C01</x:v>
      </x:c>
      <x:c r="B48" s="6" t="str">
        <x:v>XHS_P06</x:v>
      </x:c>
      <x:c r="C48" s="6" t="str">
        <x:v>Xiaohongshu</x:v>
      </x:c>
      <x:c r="D48" s="6" t="str">
        <x:v>XHS_P06_U01</x:v>
      </x:c>
      <x:c r="E48" s="6" t="str">
        <x:v>这个美瞳只戴一只眼睛的话 就是曼森了</x:v>
      </x:c>
      <x:c r="F48" s="6" t="str">
        <x:v>10-03</x:v>
      </x:c>
      <x:c r="G48" s="6" t="str"/>
      <x:c r="H48" s="6" t="n">
        <x:v>1</x:v>
      </x:c>
      <x:c r="I48" s="6" t="str">
        <x:v>Browser-rendered DOM text; manually transcribed and reviewed</x:v>
      </x:c>
      <x:c r="J48" s="6" t="str">
        <x:v>RESEARCH_WORKSPACE/Outputs/SaSa_Section_2_2/support/browser_evidence/XHS_P06_dom.txt</x:v>
      </x:c>
      <x:c r="K48" s="6" t="str">
        <x:v>https://www.xiaohongshu.com/explore/6ac0efb3000000001803bbbd</x:v>
      </x:c>
      <x:c r="L48" s="6" t="str">
        <x:v>2026-10-19 to 2026-10-20 Hong Kong time</x:v>
      </x:c>
      <x:c r="M48" s="6" t="str">
        <x:v>unknown_year_MM-DD</x:v>
      </x:c>
    </x:row>
    <x:row r="49" ht="38" customHeight="1">
      <x:c r="A49" s="6" t="str">
        <x:v>XHS_P06_R01</x:v>
      </x:c>
      <x:c r="B49" s="6" t="str">
        <x:v>XHS_P06</x:v>
      </x:c>
      <x:c r="C49" s="6" t="str">
        <x:v>Xiaohongshu</x:v>
      </x:c>
      <x:c r="D49" s="6" t="str">
        <x:v>XHS_P06_CREATOR</x:v>
      </x:c>
      <x:c r="E49" s="6" t="str">
        <x:v>没那么酷😭</x:v>
      </x:c>
      <x:c r="F49" s="6" t="str">
        <x:v>10-04</x:v>
      </x:c>
      <x:c r="G49" s="6" t="str"/>
      <x:c r="H49" s="6" t="str">
        <x:v>1.1</x:v>
      </x:c>
      <x:c r="I49" s="6" t="str">
        <x:v>Browser-rendered DOM text; manually transcribed and reviewed</x:v>
      </x:c>
      <x:c r="J49" s="6" t="str">
        <x:v>RESEARCH_WORKSPACE/Outputs/SaSa_Section_2_2/support/browser_evidence/XHS_P06_dom.txt</x:v>
      </x:c>
      <x:c r="K49" s="6" t="str">
        <x:v>https://www.xiaohongshu.com/explore/6ac0efb3000000001803bbbd</x:v>
      </x:c>
      <x:c r="L49" s="6" t="str">
        <x:v>2026-10-19 to 2026-10-20 Hong Kong time</x:v>
      </x:c>
      <x:c r="M49" s="6" t="str">
        <x:v>unknown_year_MM-DD</x:v>
      </x:c>
    </x:row>
    <x:row r="50" ht="38" customHeight="1">
      <x:c r="A50" s="6" t="str">
        <x:v>XHS_P06_C02</x:v>
      </x:c>
      <x:c r="B50" s="6" t="str">
        <x:v>XHS_P06</x:v>
      </x:c>
      <x:c r="C50" s="6" t="str">
        <x:v>Xiaohongshu</x:v>
      </x:c>
      <x:c r="D50" s="6" t="str">
        <x:v>XHS_P06_U02</x:v>
      </x:c>
      <x:c r="E50" s="6" t="str">
        <x:v>宝宝老师问问黑色头纱有🔗吗</x:v>
      </x:c>
      <x:c r="F50" s="6" t="str">
        <x:v>10-06</x:v>
      </x:c>
      <x:c r="G50" s="6" t="str"/>
      <x:c r="H50" s="6" t="n">
        <x:v>2</x:v>
      </x:c>
      <x:c r="I50" s="6" t="str">
        <x:v>Browser-rendered DOM text; manually transcribed and reviewed</x:v>
      </x:c>
      <x:c r="J50" s="6" t="str">
        <x:v>RESEARCH_WORKSPACE/Outputs/SaSa_Section_2_2/support/browser_evidence/XHS_P06_dom.txt</x:v>
      </x:c>
      <x:c r="K50" s="6" t="str">
        <x:v>https://www.xiaohongshu.com/explore/6ac0efb3000000001803bbbd</x:v>
      </x:c>
      <x:c r="L50" s="6" t="str">
        <x:v>2026-10-19 to 2026-10-20 Hong Kong time</x:v>
      </x:c>
      <x:c r="M50" s="6" t="str">
        <x:v>unknown_year_MM-DD</x:v>
      </x:c>
    </x:row>
    <x:row r="51" ht="38" customHeight="1">
      <x:c r="A51" s="6" t="str">
        <x:v>XHS_P06_R02</x:v>
      </x:c>
      <x:c r="B51" s="6" t="str">
        <x:v>XHS_P06</x:v>
      </x:c>
      <x:c r="C51" s="6" t="str">
        <x:v>Xiaohongshu</x:v>
      </x:c>
      <x:c r="D51" s="6" t="str">
        <x:v>XHS_P06_CREATOR</x:v>
      </x:c>
      <x:c r="E51" s="6" t="str">
        <x:v>是堕落天使家的～还有一款白色的我也觉得很好看</x:v>
      </x:c>
      <x:c r="F51" s="6" t="str">
        <x:v>10-06</x:v>
      </x:c>
      <x:c r="G51" s="6" t="str"/>
      <x:c r="H51" s="6" t="str">
        <x:v>2.1</x:v>
      </x:c>
      <x:c r="I51" s="6" t="str">
        <x:v>Browser-rendered DOM text; manually transcribed and reviewed</x:v>
      </x:c>
      <x:c r="J51" s="6" t="str">
        <x:v>RESEARCH_WORKSPACE/Outputs/SaSa_Section_2_2/support/browser_evidence/XHS_P06_dom.txt</x:v>
      </x:c>
      <x:c r="K51" s="6" t="str">
        <x:v>https://www.xiaohongshu.com/explore/6ac0efb3000000001803bbbd</x:v>
      </x:c>
      <x:c r="L51" s="6" t="str">
        <x:v>2026-10-19 to 2026-10-20 Hong Kong time</x:v>
      </x:c>
      <x:c r="M51" s="6" t="str">
        <x:v>unknown_year_MM-DD</x:v>
      </x:c>
    </x:row>
    <x:row r="52" ht="38" customHeight="1">
      <x:c r="A52" s="6" t="str">
        <x:v>XHS_P06_C03</x:v>
      </x:c>
      <x:c r="B52" s="6" t="str">
        <x:v>XHS_P06</x:v>
      </x:c>
      <x:c r="C52" s="6" t="str">
        <x:v>Xiaohongshu</x:v>
      </x:c>
      <x:c r="D52" s="6" t="str">
        <x:v>XHS_P06_U03</x:v>
      </x:c>
      <x:c r="E52" s="6" t="str">
        <x:v>问问眼睫毛！</x:v>
      </x:c>
      <x:c r="F52" s="6" t="str">
        <x:v>10-03</x:v>
      </x:c>
      <x:c r="G52" s="6" t="str"/>
      <x:c r="H52" s="6" t="n">
        <x:v>3</x:v>
      </x:c>
      <x:c r="I52" s="6" t="str">
        <x:v>Browser-rendered DOM text; manually transcribed and reviewed</x:v>
      </x:c>
      <x:c r="J52" s="6" t="str">
        <x:v>RESEARCH_WORKSPACE/Outputs/SaSa_Section_2_2/support/browser_evidence/XHS_P06_dom.txt</x:v>
      </x:c>
      <x:c r="K52" s="6" t="str">
        <x:v>https://www.xiaohongshu.com/explore/6ac0efb3000000001803bbbd</x:v>
      </x:c>
      <x:c r="L52" s="6" t="str">
        <x:v>2026-10-19 to 2026-10-20 Hong Kong time</x:v>
      </x:c>
      <x:c r="M52" s="6" t="str">
        <x:v>unknown_year_MM-DD</x:v>
      </x:c>
    </x:row>
    <x:row r="53" ht="38" customHeight="1">
      <x:c r="A53" s="6" t="str">
        <x:v>XHS_P06_R03</x:v>
      </x:c>
      <x:c r="B53" s="6" t="str">
        <x:v>XHS_P06</x:v>
      </x:c>
      <x:c r="C53" s="6" t="str">
        <x:v>Xiaohongshu</x:v>
      </x:c>
      <x:c r="D53" s="6" t="str">
        <x:v>XHS_P06_CREATOR</x:v>
      </x:c>
      <x:c r="E53" s="6" t="str">
        <x:v>有很多同款可以直接识图 可以看到嘛</x:v>
      </x:c>
      <x:c r="F53" s="6" t="str">
        <x:v>10-03</x:v>
      </x:c>
      <x:c r="G53" s="6" t="str"/>
      <x:c r="H53" s="6" t="str">
        <x:v>3.1</x:v>
      </x:c>
      <x:c r="I53" s="6" t="str">
        <x:v>Browser-rendered DOM text; manually transcribed and reviewed</x:v>
      </x:c>
      <x:c r="J53" s="6" t="str">
        <x:v>RESEARCH_WORKSPACE/Outputs/SaSa_Section_2_2/support/browser_evidence/XHS_P06_dom.txt</x:v>
      </x:c>
      <x:c r="K53" s="6" t="str">
        <x:v>https://www.xiaohongshu.com/explore/6ac0efb3000000001803bbbd</x:v>
      </x:c>
      <x:c r="L53" s="6" t="str">
        <x:v>2026-10-19 to 2026-10-20 Hong Kong time</x:v>
      </x:c>
      <x:c r="M53" s="6" t="str">
        <x:v>unknown_year_MM-DD</x:v>
      </x:c>
    </x:row>
    <x:row r="54" ht="38" customHeight="1">
      <x:c r="A54" s="6" t="str">
        <x:v>XHS_P06_C04</x:v>
      </x:c>
      <x:c r="B54" s="6" t="str">
        <x:v>XHS_P06</x:v>
      </x:c>
      <x:c r="C54" s="6" t="str">
        <x:v>Xiaohongshu</x:v>
      </x:c>
      <x:c r="D54" s="6" t="str">
        <x:v>XHS_P06_U04</x:v>
      </x:c>
      <x:c r="E54" s="6" t="str">
        <x:v>美瞳是什么！</x:v>
      </x:c>
      <x:c r="F54" s="6" t="str">
        <x:v>10-04</x:v>
      </x:c>
      <x:c r="G54" s="6" t="str"/>
      <x:c r="H54" s="6" t="n">
        <x:v>4</x:v>
      </x:c>
      <x:c r="I54" s="6" t="str">
        <x:v>Browser-rendered DOM text; manually transcribed and reviewed</x:v>
      </x:c>
      <x:c r="J54" s="6" t="str">
        <x:v>RESEARCH_WORKSPACE/Outputs/SaSa_Section_2_2/support/browser_evidence/XHS_P06_dom.txt</x:v>
      </x:c>
      <x:c r="K54" s="6" t="str">
        <x:v>https://www.xiaohongshu.com/explore/6ac0efb3000000001803bbbd</x:v>
      </x:c>
      <x:c r="L54" s="6" t="str">
        <x:v>2026-10-19 to 2026-10-20 Hong Kong time</x:v>
      </x:c>
      <x:c r="M54" s="6" t="str">
        <x:v>unknown_year_MM-DD</x:v>
      </x:c>
    </x:row>
    <x:row r="55" ht="38" customHeight="1">
      <x:c r="A55" s="6" t="str">
        <x:v>XHS_P06_R04</x:v>
      </x:c>
      <x:c r="B55" s="6" t="str">
        <x:v>XHS_P06</x:v>
      </x:c>
      <x:c r="C55" s="6" t="str">
        <x:v>Xiaohongshu</x:v>
      </x:c>
      <x:c r="D55" s="6" t="str">
        <x:v>XHS_P06_CREATOR</x:v>
      </x:c>
      <x:c r="E55" s="6" t="str">
        <x:v>冥夜女巫！</x:v>
      </x:c>
      <x:c r="F55" s="6" t="str">
        <x:v>10-04</x:v>
      </x:c>
      <x:c r="G55" s="6" t="str"/>
      <x:c r="H55" s="6" t="str">
        <x:v>4.1</x:v>
      </x:c>
      <x:c r="I55" s="6" t="str">
        <x:v>Browser-rendered DOM text; manually transcribed and reviewed</x:v>
      </x:c>
      <x:c r="J55" s="6" t="str">
        <x:v>RESEARCH_WORKSPACE/Outputs/SaSa_Section_2_2/support/browser_evidence/XHS_P06_dom.txt</x:v>
      </x:c>
      <x:c r="K55" s="6" t="str">
        <x:v>https://www.xiaohongshu.com/explore/6ac0efb3000000001803bbbd</x:v>
      </x:c>
      <x:c r="L55" s="6" t="str">
        <x:v>2026-10-19 to 2026-10-20 Hong Kong time</x:v>
      </x:c>
      <x:c r="M55" s="6" t="str">
        <x:v>unknown_year_MM-DD</x:v>
      </x:c>
    </x:row>
    <x:row r="56" ht="38" customHeight="1">
      <x:c r="A56" s="6" t="str">
        <x:v>XHS_P06_C05</x:v>
      </x:c>
      <x:c r="B56" s="6" t="str">
        <x:v>XHS_P06</x:v>
      </x:c>
      <x:c r="C56" s="6" t="str">
        <x:v>Xiaohongshu</x:v>
      </x:c>
      <x:c r="D56" s="6" t="str">
        <x:v>XHS_P06_U05</x:v>
      </x:c>
      <x:c r="E56" s="6" t="str">
        <x:v>姐姐好美啊！好喜欢</x:v>
      </x:c>
      <x:c r="F56" s="6" t="str">
        <x:v>昨天 18:07</x:v>
      </x:c>
      <x:c r="G56" s="6" t="str"/>
      <x:c r="H56" s="6" t="n">
        <x:v>5</x:v>
      </x:c>
      <x:c r="I56" s="6" t="str">
        <x:v>Browser-rendered DOM text; manually transcribed and reviewed</x:v>
      </x:c>
      <x:c r="J56" s="6" t="str">
        <x:v>RESEARCH_WORKSPACE/Outputs/SaSa_Section_2_2/support/browser_evidence/XHS_P06_dom.txt</x:v>
      </x:c>
      <x:c r="K56" s="6" t="str">
        <x:v>https://www.xiaohongshu.com/explore/6ac0efb3000000001803bbbd</x:v>
      </x:c>
      <x:c r="L56" s="6" t="str">
        <x:v>2026-10-19 to 2026-10-20 Hong Kong time</x:v>
      </x:c>
      <x:c r="M56" s="6" t="str">
        <x:v>supplemental_2026_to_collection_date</x:v>
      </x:c>
    </x:row>
    <x:row r="57" ht="38" customHeight="1">
      <x:c r="A57" s="6" t="str">
        <x:v>XHS_P06_C06</x:v>
      </x:c>
      <x:c r="B57" s="6" t="str">
        <x:v>XHS_P06</x:v>
      </x:c>
      <x:c r="C57" s="6" t="str">
        <x:v>Xiaohongshu</x:v>
      </x:c>
      <x:c r="D57" s="6" t="str">
        <x:v>XHS_P06_U06</x:v>
      </x:c>
      <x:c r="E57" s="6" t="str">
        <x:v>好美！！</x:v>
      </x:c>
      <x:c r="F57" s="6" t="str">
        <x:v>10-03</x:v>
      </x:c>
      <x:c r="G57" s="6" t="str"/>
      <x:c r="H57" s="6" t="n">
        <x:v>6</x:v>
      </x:c>
      <x:c r="I57" s="6" t="str">
        <x:v>Browser-rendered DOM text; manually transcribed and reviewed</x:v>
      </x:c>
      <x:c r="J57" s="6" t="str">
        <x:v>RESEARCH_WORKSPACE/Outputs/SaSa_Section_2_2/support/browser_evidence/XHS_P06_dom.txt</x:v>
      </x:c>
      <x:c r="K57" s="6" t="str">
        <x:v>https://www.xiaohongshu.com/explore/6ac0efb3000000001803bbbd</x:v>
      </x:c>
      <x:c r="L57" s="6" t="str">
        <x:v>2026-10-19 to 2026-10-20 Hong Kong time</x:v>
      </x:c>
      <x:c r="M57" s="6" t="str">
        <x:v>unknown_year_MM-DD</x:v>
      </x:c>
    </x:row>
    <x:row r="58" ht="38" customHeight="1">
      <x:c r="A58" s="6" t="str">
        <x:v>XHS_P06_R06</x:v>
      </x:c>
      <x:c r="B58" s="6" t="str">
        <x:v>XHS_P06</x:v>
      </x:c>
      <x:c r="C58" s="6" t="str">
        <x:v>Xiaohongshu</x:v>
      </x:c>
      <x:c r="D58" s="6" t="str">
        <x:v>XHS_P06_CREATOR</x:v>
      </x:c>
      <x:c r="E58" s="6" t="str">
        <x:v>谢谢！！</x:v>
      </x:c>
      <x:c r="F58" s="6" t="str">
        <x:v>10-04</x:v>
      </x:c>
      <x:c r="G58" s="6" t="str"/>
      <x:c r="H58" s="6" t="str">
        <x:v>6.1</x:v>
      </x:c>
      <x:c r="I58" s="6" t="str">
        <x:v>Browser-rendered DOM text; manually transcribed and reviewed</x:v>
      </x:c>
      <x:c r="J58" s="6" t="str">
        <x:v>RESEARCH_WORKSPACE/Outputs/SaSa_Section_2_2/support/browser_evidence/XHS_P06_dom.txt</x:v>
      </x:c>
      <x:c r="K58" s="6" t="str">
        <x:v>https://www.xiaohongshu.com/explore/6ac0efb3000000001803bbbd</x:v>
      </x:c>
      <x:c r="L58" s="6" t="str">
        <x:v>2026-10-19 to 2026-10-20 Hong Kong time</x:v>
      </x:c>
      <x:c r="M58" s="6" t="str">
        <x:v>unknown_year_MM-DD</x:v>
      </x:c>
    </x:row>
    <x:row r="59" ht="38" customHeight="1">
      <x:c r="A59" s="6" t="str">
        <x:v>XHS_P06_C07</x:v>
      </x:c>
      <x:c r="B59" s="6" t="str">
        <x:v>XHS_P06</x:v>
      </x:c>
      <x:c r="C59" s="6" t="str">
        <x:v>Xiaohongshu</x:v>
      </x:c>
      <x:c r="D59" s="6" t="str">
        <x:v>XHS_P06_U07</x:v>
      </x:c>
      <x:c r="E59" s="6" t="str">
        <x:v>老大问问假发</x:v>
      </x:c>
      <x:c r="F59" s="6" t="str">
        <x:v>10-03</x:v>
      </x:c>
      <x:c r="G59" s="6" t="str"/>
      <x:c r="H59" s="6" t="n">
        <x:v>7</x:v>
      </x:c>
      <x:c r="I59" s="6" t="str">
        <x:v>Browser-rendered DOM text; manually transcribed and reviewed</x:v>
      </x:c>
      <x:c r="J59" s="6" t="str">
        <x:v>RESEARCH_WORKSPACE/Outputs/SaSa_Section_2_2/support/browser_evidence/XHS_P06_dom.txt</x:v>
      </x:c>
      <x:c r="K59" s="6" t="str">
        <x:v>https://www.xiaohongshu.com/explore/6ac0efb3000000001803bbbd</x:v>
      </x:c>
      <x:c r="L59" s="6" t="str">
        <x:v>2026-10-19 to 2026-10-20 Hong Kong time</x:v>
      </x:c>
      <x:c r="M59" s="6" t="str">
        <x:v>unknown_year_MM-DD</x:v>
      </x:c>
    </x:row>
    <x:row r="60" ht="38" customHeight="1">
      <x:c r="A60" s="6" t="str">
        <x:v>XHS_P06_R07</x:v>
      </x:c>
      <x:c r="B60" s="6" t="str">
        <x:v>XHS_P06</x:v>
      </x:c>
      <x:c r="C60" s="6" t="str">
        <x:v>Xiaohongshu</x:v>
      </x:c>
      <x:c r="D60" s="6" t="str">
        <x:v>XHS_P06_CREATOR</x:v>
      </x:c>
      <x:c r="E60" s="6" t="str">
        <x:v>心之匙的！</x:v>
      </x:c>
      <x:c r="F60" s="6" t="str">
        <x:v>10-04</x:v>
      </x:c>
      <x:c r="G60" s="6" t="str"/>
      <x:c r="H60" s="6" t="str">
        <x:v>7.1</x:v>
      </x:c>
      <x:c r="I60" s="6" t="str">
        <x:v>Browser-rendered DOM text; manually transcribed and reviewed</x:v>
      </x:c>
      <x:c r="J60" s="6" t="str">
        <x:v>RESEARCH_WORKSPACE/Outputs/SaSa_Section_2_2/support/browser_evidence/XHS_P06_dom.txt</x:v>
      </x:c>
      <x:c r="K60" s="6" t="str">
        <x:v>https://www.xiaohongshu.com/explore/6ac0efb3000000001803bbbd</x:v>
      </x:c>
      <x:c r="L60" s="6" t="str">
        <x:v>2026-10-19 to 2026-10-20 Hong Kong time</x:v>
      </x:c>
      <x:c r="M60" s="6" t="str">
        <x:v>unknown_year_MM-DD</x:v>
      </x:c>
    </x:row>
    <x:row r="61" ht="38" customHeight="1">
      <x:c r="A61" s="6" t="str">
        <x:v>XHS_P06_C08</x:v>
      </x:c>
      <x:c r="B61" s="6" t="str">
        <x:v>XHS_P06</x:v>
      </x:c>
      <x:c r="C61" s="6" t="str">
        <x:v>Xiaohongshu</x:v>
      </x:c>
      <x:c r="D61" s="6" t="str">
        <x:v>XHS_P06_U08</x:v>
      </x:c>
      <x:c r="E61" s="6" t="str">
        <x:v>严肃学习！</x:v>
      </x:c>
      <x:c r="F61" s="6" t="str">
        <x:v>昨天 01:12</x:v>
      </x:c>
      <x:c r="G61" s="6" t="str"/>
      <x:c r="H61" s="6" t="n">
        <x:v>8</x:v>
      </x:c>
      <x:c r="I61" s="6" t="str">
        <x:v>Browser-rendered DOM text; manually transcribed and reviewed</x:v>
      </x:c>
      <x:c r="J61" s="6" t="str">
        <x:v>RESEARCH_WORKSPACE/Outputs/SaSa_Section_2_2/support/browser_evidence/XHS_P06_dom.txt</x:v>
      </x:c>
      <x:c r="K61" s="6" t="str">
        <x:v>https://www.xiaohongshu.com/explore/6ac0efb3000000001803bbbd</x:v>
      </x:c>
      <x:c r="L61" s="6" t="str">
        <x:v>2026-10-19 to 2026-10-20 Hong Kong time</x:v>
      </x:c>
      <x:c r="M61" s="6" t="str">
        <x:v>supplemental_2026_to_collection_date</x:v>
      </x:c>
    </x:row>
    <x:row r="62" ht="38" customHeight="1">
      <x:c r="A62" s="6" t="str">
        <x:v>XHS_P06_C09</x:v>
      </x:c>
      <x:c r="B62" s="6" t="str">
        <x:v>XHS_P06</x:v>
      </x:c>
      <x:c r="C62" s="6" t="str">
        <x:v>Xiaohongshu</x:v>
      </x:c>
      <x:c r="D62" s="6" t="str">
        <x:v>XHS_P06_U09</x:v>
      </x:c>
      <x:c r="E62" s="6" t="str">
        <x:v>老师别删
我存了万圣节化</x:v>
      </x:c>
      <x:c r="F62" s="6" t="str">
        <x:v>10-03</x:v>
      </x:c>
      <x:c r="G62" s="6" t="str"/>
      <x:c r="H62" s="6" t="n">
        <x:v>9</x:v>
      </x:c>
      <x:c r="I62" s="6" t="str">
        <x:v>Browser-rendered DOM text; manually transcribed and reviewed</x:v>
      </x:c>
      <x:c r="J62" s="6" t="str">
        <x:v>RESEARCH_WORKSPACE/Outputs/SaSa_Section_2_2/support/browser_evidence/XHS_P06_dom.txt</x:v>
      </x:c>
      <x:c r="K62" s="6" t="str">
        <x:v>https://www.xiaohongshu.com/explore/6ac0efb3000000001803bbbd</x:v>
      </x:c>
      <x:c r="L62" s="6" t="str">
        <x:v>2026-10-19 to 2026-10-20 Hong Kong time</x:v>
      </x:c>
      <x:c r="M62" s="6" t="str">
        <x:v>unknown_year_MM-DD</x:v>
      </x:c>
    </x:row>
    <x:row r="63" ht="38" customHeight="1">
      <x:c r="A63" s="6" t="str">
        <x:v>XHS_P06_R09</x:v>
      </x:c>
      <x:c r="B63" s="6" t="str">
        <x:v>XHS_P06</x:v>
      </x:c>
      <x:c r="C63" s="6" t="str">
        <x:v>Xiaohongshu</x:v>
      </x:c>
      <x:c r="D63" s="6" t="str">
        <x:v>XHS_P06_CREATOR</x:v>
      </x:c>
      <x:c r="E63" s="6" t="str">
        <x:v>好</x:v>
      </x:c>
      <x:c r="F63" s="6" t="str">
        <x:v>10-04</x:v>
      </x:c>
      <x:c r="G63" s="6" t="str"/>
      <x:c r="H63" s="6" t="str">
        <x:v>9.1</x:v>
      </x:c>
      <x:c r="I63" s="6" t="str">
        <x:v>Browser-rendered DOM text; manually transcribed and reviewed</x:v>
      </x:c>
      <x:c r="J63" s="6" t="str">
        <x:v>RESEARCH_WORKSPACE/Outputs/SaSa_Section_2_2/support/browser_evidence/XHS_P06_dom.txt</x:v>
      </x:c>
      <x:c r="K63" s="6" t="str">
        <x:v>https://www.xiaohongshu.com/explore/6ac0efb3000000001803bbbd</x:v>
      </x:c>
      <x:c r="L63" s="6" t="str">
        <x:v>2026-10-19 to 2026-10-20 Hong Kong time</x:v>
      </x:c>
      <x:c r="M63" s="6" t="str">
        <x:v>unknown_year_MM-DD</x:v>
      </x:c>
    </x:row>
    <x:row r="64" ht="38" customHeight="1">
      <x:c r="A64" s="6" t="str">
        <x:v>XHS_P06_C10</x:v>
      </x:c>
      <x:c r="B64" s="6" t="str">
        <x:v>XHS_P06</x:v>
      </x:c>
      <x:c r="C64" s="6" t="str">
        <x:v>Xiaohongshu</x:v>
      </x:c>
      <x:c r="D64" s="6" t="str">
        <x:v>XHS_P06_U10</x:v>
      </x:c>
      <x:c r="E64" s="6" t="str">
        <x:v>宝宝好美
问一下上散粉的刷子</x:v>
      </x:c>
      <x:c r="F64" s="6" t="str">
        <x:v>10-09</x:v>
      </x:c>
      <x:c r="G64" s="6" t="str"/>
      <x:c r="H64" s="6" t="n">
        <x:v>10</x:v>
      </x:c>
      <x:c r="I64" s="6" t="str">
        <x:v>Browser-rendered DOM text; manually transcribed and reviewed</x:v>
      </x:c>
      <x:c r="J64" s="6" t="str">
        <x:v>RESEARCH_WORKSPACE/Outputs/SaSa_Section_2_2/support/browser_evidence/XHS_P06_dom.txt</x:v>
      </x:c>
      <x:c r="K64" s="6" t="str">
        <x:v>https://www.xiaohongshu.com/explore/6ac0efb3000000001803bbbd</x:v>
      </x:c>
      <x:c r="L64" s="6" t="str">
        <x:v>2026-10-19 to 2026-10-20 Hong Kong time</x:v>
      </x:c>
      <x:c r="M64" s="6" t="str">
        <x:v>unknown_year_MM-DD</x:v>
      </x:c>
    </x:row>
    <x:row r="65" ht="38" customHeight="1">
      <x:c r="A65" s="6" t="str">
        <x:v>XHS_P06_R10</x:v>
      </x:c>
      <x:c r="B65" s="6" t="str">
        <x:v>XHS_P06</x:v>
      </x:c>
      <x:c r="C65" s="6" t="str">
        <x:v>Xiaohongshu</x:v>
      </x:c>
      <x:c r="D65" s="6" t="str">
        <x:v>XHS_P06_U10</x:v>
      </x:c>
      <x:c r="E65" s="6" t="str">
        <x:v>还想问一下上脸部修容侧面的大刷子</x:v>
      </x:c>
      <x:c r="F65" s="6" t="str">
        <x:v>10-09</x:v>
      </x:c>
      <x:c r="G65" s="6" t="str"/>
      <x:c r="H65" s="6" t="str">
        <x:v>10.1</x:v>
      </x:c>
      <x:c r="I65" s="6" t="str">
        <x:v>Browser-rendered DOM text; manually transcribed and reviewed</x:v>
      </x:c>
      <x:c r="J65" s="6" t="str">
        <x:v>RESEARCH_WORKSPACE/Outputs/SaSa_Section_2_2/support/browser_evidence/XHS_P06_dom.txt</x:v>
      </x:c>
      <x:c r="K65" s="6" t="str">
        <x:v>https://www.xiaohongshu.com/explore/6ac0efb3000000001803bbbd</x:v>
      </x:c>
      <x:c r="L65" s="6" t="str">
        <x:v>2026-10-19 to 2026-10-20 Hong Kong time</x:v>
      </x:c>
      <x:c r="M65" s="6" t="str">
        <x:v>unknown_year_MM-DD</x:v>
      </x:c>
    </x:row>
    <x:row r="66" ht="38" customHeight="1">
      <x:c r="A66" s="6" t="str">
        <x:v>XHS_P06_C11</x:v>
      </x:c>
      <x:c r="B66" s="6" t="str">
        <x:v>XHS_P06</x:v>
      </x:c>
      <x:c r="C66" s="6" t="str">
        <x:v>Xiaohongshu</x:v>
      </x:c>
      <x:c r="D66" s="6" t="str">
        <x:v>XHS_P06_U11</x:v>
      </x:c>
      <x:c r="E66" s="6" t="str">
        <x:v>好眼熟的博主</x:v>
      </x:c>
      <x:c r="F66" s="6" t="str">
        <x:v>10-07</x:v>
      </x:c>
      <x:c r="G66" s="6" t="str"/>
      <x:c r="H66" s="6" t="n">
        <x:v>11</x:v>
      </x:c>
      <x:c r="I66" s="6" t="str">
        <x:v>Browser-rendered DOM text; manually transcribed and reviewed</x:v>
      </x:c>
      <x:c r="J66" s="6" t="str">
        <x:v>RESEARCH_WORKSPACE/Outputs/SaSa_Section_2_2/support/browser_evidence/XHS_P06_dom.txt</x:v>
      </x:c>
      <x:c r="K66" s="6" t="str">
        <x:v>https://www.xiaohongshu.com/explore/6ac0efb3000000001803bbbd</x:v>
      </x:c>
      <x:c r="L66" s="6" t="str">
        <x:v>2026-10-19 to 2026-10-20 Hong Kong time</x:v>
      </x:c>
      <x:c r="M66" s="6" t="str">
        <x:v>unknown_year_MM-DD</x:v>
      </x:c>
    </x:row>
    <x:row r="67" ht="52" customHeight="1">
      <x:c r="A67" s="6" t="str">
        <x:v>XHS_P06_C12</x:v>
      </x:c>
      <x:c r="B67" s="6" t="str">
        <x:v>XHS_P06</x:v>
      </x:c>
      <x:c r="C67" s="6" t="str">
        <x:v>Xiaohongshu</x:v>
      </x:c>
      <x:c r="D67" s="6" t="str">
        <x:v>XHS_P06_U12</x:v>
      </x:c>
      <x:c r="E67" s="6" t="str">
        <x:v>老师的讲解不造为啥让我看的很欢乐～种草了染眉膏。想问这款美瞳轻微遮瞳会影响看东西吗？本人之前种草了它很久没买，一是担心看不清（视力不好）二是眼眶小每次戴美瞳要抠半天</x:v>
      </x:c>
      <x:c r="F67" s="6" t="str">
        <x:v>10-06</x:v>
      </x:c>
      <x:c r="G67" s="6" t="str"/>
      <x:c r="H67" s="6" t="n">
        <x:v>12</x:v>
      </x:c>
      <x:c r="I67" s="6" t="str">
        <x:v>Browser-rendered DOM text; manually transcribed and reviewed</x:v>
      </x:c>
      <x:c r="J67" s="6" t="str">
        <x:v>RESEARCH_WORKSPACE/Outputs/SaSa_Section_2_2/support/browser_evidence/XHS_P06_dom.txt</x:v>
      </x:c>
      <x:c r="K67" s="6" t="str">
        <x:v>https://www.xiaohongshu.com/explore/6ac0efb3000000001803bbbd</x:v>
      </x:c>
      <x:c r="L67" s="6" t="str">
        <x:v>2026-10-19 to 2026-10-20 Hong Kong time</x:v>
      </x:c>
      <x:c r="M67" s="6" t="str">
        <x:v>unknown_year_MM-DD</x:v>
      </x:c>
    </x:row>
    <x:row r="68" ht="38" customHeight="1">
      <x:c r="A68" s="6" t="str">
        <x:v>XHS_P06_R12</x:v>
      </x:c>
      <x:c r="B68" s="6" t="str">
        <x:v>XHS_P06</x:v>
      </x:c>
      <x:c r="C68" s="6" t="str">
        <x:v>Xiaohongshu</x:v>
      </x:c>
      <x:c r="D68" s="6" t="str">
        <x:v>XHS_P06_CREATOR</x:v>
      </x:c>
      <x:c r="E68" s="6" t="str">
        <x:v>谢谢你！这个美瞳会影响10%的视力吧 如果不是带着去做一些很需要视力的事情（比如看电影）就还好</x:v>
      </x:c>
      <x:c r="F68" s="6" t="str">
        <x:v>10-06</x:v>
      </x:c>
      <x:c r="G68" s="6" t="str"/>
      <x:c r="H68" s="6" t="str">
        <x:v>12.1</x:v>
      </x:c>
      <x:c r="I68" s="6" t="str">
        <x:v>Browser-rendered DOM text; manually transcribed and reviewed</x:v>
      </x:c>
      <x:c r="J68" s="6" t="str">
        <x:v>RESEARCH_WORKSPACE/Outputs/SaSa_Section_2_2/support/browser_evidence/XHS_P06_dom.txt</x:v>
      </x:c>
      <x:c r="K68" s="6" t="str">
        <x:v>https://www.xiaohongshu.com/explore/6ac0efb3000000001803bbbd</x:v>
      </x:c>
      <x:c r="L68" s="6" t="str">
        <x:v>2026-10-19 to 2026-10-20 Hong Kong time</x:v>
      </x:c>
      <x:c r="M68" s="6" t="str">
        <x:v>unknown_year_MM-DD</x:v>
      </x:c>
    </x:row>
    <x:row r="69" ht="38" customHeight="1">
      <x:c r="A69" s="6" t="str">
        <x:v>XHS_P06_C13</x:v>
      </x:c>
      <x:c r="B69" s="6" t="str">
        <x:v>XHS_P06</x:v>
      </x:c>
      <x:c r="C69" s="6" t="str">
        <x:v>Xiaohongshu</x:v>
      </x:c>
      <x:c r="D69" s="6" t="str">
        <x:v>XHS_P06_U13</x:v>
      </x:c>
      <x:c r="E69" s="6" t="str">
        <x:v>问问鼻影刷[棒R]</x:v>
      </x:c>
      <x:c r="F69" s="6" t="str">
        <x:v>10-04</x:v>
      </x:c>
      <x:c r="G69" s="6" t="str"/>
      <x:c r="H69" s="6" t="n">
        <x:v>13</x:v>
      </x:c>
      <x:c r="I69" s="6" t="str">
        <x:v>Browser-rendered DOM text; manually transcribed and reviewed</x:v>
      </x:c>
      <x:c r="J69" s="6" t="str">
        <x:v>RESEARCH_WORKSPACE/Outputs/SaSa_Section_2_2/support/browser_evidence/XHS_P06_dom.txt</x:v>
      </x:c>
      <x:c r="K69" s="6" t="str">
        <x:v>https://www.xiaohongshu.com/explore/6ac0efb3000000001803bbbd</x:v>
      </x:c>
      <x:c r="L69" s="6" t="str">
        <x:v>2026-10-19 to 2026-10-20 Hong Kong time</x:v>
      </x:c>
      <x:c r="M69" s="6" t="str">
        <x:v>unknown_year_MM-DD</x:v>
      </x:c>
    </x:row>
    <x:row r="70" ht="38" customHeight="1">
      <x:c r="A70" s="6" t="str">
        <x:v>XHS_P06_R13</x:v>
      </x:c>
      <x:c r="B70" s="6" t="str">
        <x:v>XHS_P06</x:v>
      </x:c>
      <x:c r="C70" s="6" t="str">
        <x:v>Xiaohongshu</x:v>
      </x:c>
      <x:c r="D70" s="6" t="str">
        <x:v>XHS_P06_CREATOR</x:v>
      </x:c>
      <x:c r="E70" s="6" t="str"/>
      <x:c r="F70" s="6" t="str">
        <x:v>10-04</x:v>
      </x:c>
      <x:c r="G70" s="6" t="str"/>
      <x:c r="H70" s="6" t="str">
        <x:v>13.1</x:v>
      </x:c>
      <x:c r="I70" s="6" t="str">
        <x:v>Browser-rendered DOM text; manually transcribed and reviewed</x:v>
      </x:c>
      <x:c r="J70" s="6" t="str">
        <x:v>RESEARCH_WORKSPACE/Outputs/SaSa_Section_2_2/support/browser_evidence/XHS_P06_dom.txt</x:v>
      </x:c>
      <x:c r="K70" s="6" t="str">
        <x:v>https://www.xiaohongshu.com/explore/6ac0efb3000000001803bbbd</x:v>
      </x:c>
      <x:c r="L70" s="6" t="str">
        <x:v>2026-10-19 to 2026-10-20 Hong Kong time</x:v>
      </x:c>
      <x:c r="M70" s="6" t="str">
        <x:v>unknown_year_MM-DD</x:v>
      </x:c>
    </x:row>
    <x:row r="71" ht="38" customHeight="1">
      <x:c r="A71" s="6" t="str">
        <x:v>XHS_P06_C14</x:v>
      </x:c>
      <x:c r="B71" s="6" t="str">
        <x:v>XHS_P06</x:v>
      </x:c>
      <x:c r="C71" s="6" t="str">
        <x:v>Xiaohongshu</x:v>
      </x:c>
      <x:c r="D71" s="6" t="str">
        <x:v>XHS_P06_U14</x:v>
      </x:c>
      <x:c r="E71" s="6" t="str">
        <x:v>老大问问染眉膏色号</x:v>
      </x:c>
      <x:c r="F71" s="6" t="str">
        <x:v>10-04</x:v>
      </x:c>
      <x:c r="G71" s="6" t="str"/>
      <x:c r="H71" s="6" t="n">
        <x:v>14</x:v>
      </x:c>
      <x:c r="I71" s="6" t="str">
        <x:v>Browser-rendered DOM text; manually transcribed and reviewed</x:v>
      </x:c>
      <x:c r="J71" s="6" t="str">
        <x:v>RESEARCH_WORKSPACE/Outputs/SaSa_Section_2_2/support/browser_evidence/XHS_P06_dom.txt</x:v>
      </x:c>
      <x:c r="K71" s="6" t="str">
        <x:v>https://www.xiaohongshu.com/explore/6ac0efb3000000001803bbbd</x:v>
      </x:c>
      <x:c r="L71" s="6" t="str">
        <x:v>2026-10-19 to 2026-10-20 Hong Kong time</x:v>
      </x:c>
      <x:c r="M71" s="6" t="str">
        <x:v>unknown_year_MM-DD</x:v>
      </x:c>
    </x:row>
    <x:row r="72" ht="38" customHeight="1">
      <x:c r="A72" s="6" t="str">
        <x:v>XHS_P06_R14</x:v>
      </x:c>
      <x:c r="B72" s="6" t="str">
        <x:v>XHS_P06</x:v>
      </x:c>
      <x:c r="C72" s="6" t="str">
        <x:v>Xiaohongshu</x:v>
      </x:c>
      <x:c r="D72" s="6" t="str">
        <x:v>XHS_P06_CREATOR</x:v>
      </x:c>
      <x:c r="E72" s="6" t="str">
        <x:v>是浅珠贝！11号</x:v>
      </x:c>
      <x:c r="F72" s="6" t="str">
        <x:v>10-04</x:v>
      </x:c>
      <x:c r="G72" s="6" t="str"/>
      <x:c r="H72" s="6" t="str">
        <x:v>14.1</x:v>
      </x:c>
      <x:c r="I72" s="6" t="str">
        <x:v>Browser-rendered DOM text; manually transcribed and reviewed</x:v>
      </x:c>
      <x:c r="J72" s="6" t="str">
        <x:v>RESEARCH_WORKSPACE/Outputs/SaSa_Section_2_2/support/browser_evidence/XHS_P06_dom.txt</x:v>
      </x:c>
      <x:c r="K72" s="6" t="str">
        <x:v>https://www.xiaohongshu.com/explore/6ac0efb3000000001803bbbd</x:v>
      </x:c>
      <x:c r="L72" s="6" t="str">
        <x:v>2026-10-19 to 2026-10-20 Hong Kong time</x:v>
      </x:c>
      <x:c r="M72" s="6" t="str">
        <x:v>unknown_year_MM-DD</x:v>
      </x:c>
    </x:row>
    <x:row r="73" ht="38" customHeight="1">
      <x:c r="A73" s="6" t="str">
        <x:v>XHS_P06_C15</x:v>
      </x:c>
      <x:c r="B73" s="6" t="str">
        <x:v>XHS_P06</x:v>
      </x:c>
      <x:c r="C73" s="6" t="str">
        <x:v>Xiaohongshu</x:v>
      </x:c>
      <x:c r="D73" s="6" t="str">
        <x:v>XHS_P06_U15</x:v>
      </x:c>
      <x:c r="E73" s="6" t="str">
        <x:v>怎么感觉这美瞳没化妆的时候一直在翻我白眼</x:v>
      </x:c>
      <x:c r="F73" s="6" t="str">
        <x:v>10-03</x:v>
      </x:c>
      <x:c r="G73" s="6" t="str"/>
      <x:c r="H73" s="6" t="n">
        <x:v>15</x:v>
      </x:c>
      <x:c r="I73" s="6" t="str">
        <x:v>Browser-rendered DOM text; manually transcribed and reviewed</x:v>
      </x:c>
      <x:c r="J73" s="6" t="str">
        <x:v>RESEARCH_WORKSPACE/Outputs/SaSa_Section_2_2/support/browser_evidence/XHS_P06_dom.txt</x:v>
      </x:c>
      <x:c r="K73" s="6" t="str">
        <x:v>https://www.xiaohongshu.com/explore/6ac0efb3000000001803bbbd</x:v>
      </x:c>
      <x:c r="L73" s="6" t="str">
        <x:v>2026-10-19 to 2026-10-20 Hong Kong time</x:v>
      </x:c>
      <x:c r="M73" s="6" t="str">
        <x:v>unknown_year_MM-DD</x:v>
      </x:c>
    </x:row>
    <x:row r="74" ht="38" customHeight="1">
      <x:c r="A74" s="6" t="str">
        <x:v>IG_P01_C01</x:v>
      </x:c>
      <x:c r="B74" s="6" t="str">
        <x:v>IG_P01</x:v>
      </x:c>
      <x:c r="C74" s="6" t="str">
        <x:v>Instagram</x:v>
      </x:c>
      <x:c r="D74" s="6" t="str">
        <x:v>IG_P01_U01</x:v>
      </x:c>
      <x:c r="E74" s="6" t="str">
        <x:v>Yes black widow 🕷️ 🕷️🕷️🕷️</x:v>
      </x:c>
      <x:c r="F74" s="6" t="str">
        <x:v>102 w</x:v>
      </x:c>
      <x:c r="G74" s="6" t="d">
        <x:v>2024-11-01T09:47:17.000Z</x:v>
      </x:c>
      <x:c r="H74" s="6" t="n">
        <x:v>1</x:v>
      </x:c>
      <x:c r="I74" s="6" t="str">
        <x:v>Browser-visible accessibility text; manually transcribed and reviewed</x:v>
      </x:c>
      <x:c r="J74" s="6" t="str">
        <x:v>RESEARCH_WORKSPACE/Outputs/SaSa_Section_2_2/support/browser_evidence/IG_P01_comments.txt</x:v>
      </x:c>
      <x:c r="K74" s="6" t="str">
        <x:v>https://www.instagram.com/reel/DBsunJ9SSmy/</x:v>
      </x:c>
      <x:c r="L74" s="6" t="str">
        <x:v>2026-10-19 to 2026-10-20 Hong Kong time</x:v>
      </x:c>
      <x:c r="M74" s="6" t="str">
        <x:v>unknown_or_out_of_window</x:v>
      </x:c>
    </x:row>
    <x:row r="75" ht="38" customHeight="1">
      <x:c r="A75" s="6" t="str">
        <x:v>IG_P01_C02</x:v>
      </x:c>
      <x:c r="B75" s="6" t="str">
        <x:v>IG_P01</x:v>
      </x:c>
      <x:c r="C75" s="6" t="str">
        <x:v>Instagram</x:v>
      </x:c>
      <x:c r="D75" s="6" t="str">
        <x:v>IG_P01_U02</x:v>
      </x:c>
      <x:c r="E75" s="6" t="str">
        <x:v>Incredible, @iamkareno 🔥</x:v>
      </x:c>
      <x:c r="F75" s="6" t="str">
        <x:v>102 w</x:v>
      </x:c>
      <x:c r="G75" s="6" t="d">
        <x:v>2024-10-30T01:08:21.000Z</x:v>
      </x:c>
      <x:c r="H75" s="6" t="n">
        <x:v>2</x:v>
      </x:c>
      <x:c r="I75" s="6" t="str">
        <x:v>Browser-visible accessibility text; manually transcribed and reviewed</x:v>
      </x:c>
      <x:c r="J75" s="6" t="str">
        <x:v>RESEARCH_WORKSPACE/Outputs/SaSa_Section_2_2/support/browser_evidence/IG_P01_comments.txt</x:v>
      </x:c>
      <x:c r="K75" s="6" t="str">
        <x:v>https://www.instagram.com/reel/DBsunJ9SSmy/</x:v>
      </x:c>
      <x:c r="L75" s="6" t="str">
        <x:v>2026-10-19 to 2026-10-20 Hong Kong time</x:v>
      </x:c>
      <x:c r="M75" s="6" t="str">
        <x:v>unknown_or_out_of_window</x:v>
      </x:c>
    </x:row>
    <x:row r="76" ht="38" customHeight="1">
      <x:c r="A76" s="6" t="str">
        <x:v>IG_P01_C03</x:v>
      </x:c>
      <x:c r="B76" s="6" t="str">
        <x:v>IG_P01</x:v>
      </x:c>
      <x:c r="C76" s="6" t="str">
        <x:v>Instagram</x:v>
      </x:c>
      <x:c r="D76" s="6" t="str">
        <x:v>IG_P01_U03</x:v>
      </x:c>
      <x:c r="E76" s="6" t="str">
        <x:v>Yess @iamkareno 🖤</x:v>
      </x:c>
      <x:c r="F76" s="6" t="str">
        <x:v>102 w</x:v>
      </x:c>
      <x:c r="G76" s="6" t="d">
        <x:v>2024-10-29T09:30:49.000Z</x:v>
      </x:c>
      <x:c r="H76" s="6" t="n">
        <x:v>3</x:v>
      </x:c>
      <x:c r="I76" s="6" t="str">
        <x:v>Browser-visible accessibility text; manually transcribed and reviewed</x:v>
      </x:c>
      <x:c r="J76" s="6" t="str">
        <x:v>RESEARCH_WORKSPACE/Outputs/SaSa_Section_2_2/support/browser_evidence/IG_P01_comments.txt</x:v>
      </x:c>
      <x:c r="K76" s="6" t="str">
        <x:v>https://www.instagram.com/reel/DBsunJ9SSmy/</x:v>
      </x:c>
      <x:c r="L76" s="6" t="str">
        <x:v>2026-10-19 to 2026-10-20 Hong Kong time</x:v>
      </x:c>
      <x:c r="M76" s="6" t="str">
        <x:v>unknown_or_out_of_window</x:v>
      </x:c>
    </x:row>
    <x:row r="77" ht="38" customHeight="1">
      <x:c r="A77" s="6" t="str">
        <x:v>IG_P01_C04</x:v>
      </x:c>
      <x:c r="B77" s="6" t="str">
        <x:v>IG_P01</x:v>
      </x:c>
      <x:c r="C77" s="6" t="str">
        <x:v>Instagram</x:v>
      </x:c>
      <x:c r="D77" s="6" t="str">
        <x:v>IG_P01_U04</x:v>
      </x:c>
      <x:c r="E77" s="6" t="str">
        <x:v>🕷️🕷️🕷️🕷️</x:v>
      </x:c>
      <x:c r="F77" s="6" t="str">
        <x:v>102 w</x:v>
      </x:c>
      <x:c r="G77" s="6" t="d">
        <x:v>2024-10-29T07:34:24.000Z</x:v>
      </x:c>
      <x:c r="H77" s="6" t="n">
        <x:v>4</x:v>
      </x:c>
      <x:c r="I77" s="6" t="str">
        <x:v>Browser-visible accessibility text; manually transcribed and reviewed</x:v>
      </x:c>
      <x:c r="J77" s="6" t="str">
        <x:v>RESEARCH_WORKSPACE/Outputs/SaSa_Section_2_2/support/browser_evidence/IG_P01_comments.txt</x:v>
      </x:c>
      <x:c r="K77" s="6" t="str">
        <x:v>https://www.instagram.com/reel/DBsunJ9SSmy/</x:v>
      </x:c>
      <x:c r="L77" s="6" t="str">
        <x:v>2026-10-19 to 2026-10-20 Hong Kong time</x:v>
      </x:c>
      <x:c r="M77" s="6" t="str">
        <x:v>unknown_or_out_of_window</x:v>
      </x:c>
    </x:row>
    <x:row r="78" ht="38" customHeight="1">
      <x:c r="A78" s="6" t="str">
        <x:v>IG_P01_C05</x:v>
      </x:c>
      <x:c r="B78" s="6" t="str">
        <x:v>IG_P01</x:v>
      </x:c>
      <x:c r="C78" s="6" t="str">
        <x:v>Instagram</x:v>
      </x:c>
      <x:c r="D78" s="6" t="str">
        <x:v>IG_P01_U05</x:v>
      </x:c>
      <x:c r="E78" s="6" t="str">
        <x:v>😍😍😍 gorgeous!!</x:v>
      </x:c>
      <x:c r="F78" s="6" t="str">
        <x:v>102 w</x:v>
      </x:c>
      <x:c r="G78" s="6" t="d">
        <x:v>2024-10-29T07:20:55.000Z</x:v>
      </x:c>
      <x:c r="H78" s="6" t="n">
        <x:v>5</x:v>
      </x:c>
      <x:c r="I78" s="6" t="str">
        <x:v>Browser-visible accessibility text; manually transcribed and reviewed</x:v>
      </x:c>
      <x:c r="J78" s="6" t="str">
        <x:v>RESEARCH_WORKSPACE/Outputs/SaSa_Section_2_2/support/browser_evidence/IG_P01_comments.txt</x:v>
      </x:c>
      <x:c r="K78" s="6" t="str">
        <x:v>https://www.instagram.com/reel/DBsunJ9SSmy/</x:v>
      </x:c>
      <x:c r="L78" s="6" t="str">
        <x:v>2026-10-19 to 2026-10-20 Hong Kong time</x:v>
      </x:c>
      <x:c r="M78" s="6" t="str">
        <x:v>unknown_or_out_of_window</x:v>
      </x:c>
    </x:row>
    <x:row r="79" ht="38" customHeight="1">
      <x:c r="A79" s="6" t="str">
        <x:v>IG_P01_C06</x:v>
      </x:c>
      <x:c r="B79" s="6" t="str">
        <x:v>IG_P01</x:v>
      </x:c>
      <x:c r="C79" s="6" t="str">
        <x:v>Instagram</x:v>
      </x:c>
      <x:c r="D79" s="6" t="str">
        <x:v>IG_P01_U06</x:v>
      </x:c>
      <x:c r="E79" s="6" t="str">
        <x:v>🖤🕸️🖤</x:v>
      </x:c>
      <x:c r="F79" s="6" t="str">
        <x:v>102 w</x:v>
      </x:c>
      <x:c r="G79" s="6" t="d">
        <x:v>2024-10-29T07:12:35.000Z</x:v>
      </x:c>
      <x:c r="H79" s="6" t="n">
        <x:v>6</x:v>
      </x:c>
      <x:c r="I79" s="6" t="str">
        <x:v>Browser-visible accessibility text; manually transcribed and reviewed</x:v>
      </x:c>
      <x:c r="J79" s="6" t="str">
        <x:v>RESEARCH_WORKSPACE/Outputs/SaSa_Section_2_2/support/browser_evidence/IG_P01_comments.txt</x:v>
      </x:c>
      <x:c r="K79" s="6" t="str">
        <x:v>https://www.instagram.com/reel/DBsunJ9SSmy/</x:v>
      </x:c>
      <x:c r="L79" s="6" t="str">
        <x:v>2026-10-19 to 2026-10-20 Hong Kong time</x:v>
      </x:c>
      <x:c r="M79" s="6" t="str">
        <x:v>unknown_or_out_of_window</x:v>
      </x:c>
    </x:row>
    <x:row r="80" ht="38" customHeight="1">
      <x:c r="A80" s="6" t="str">
        <x:v>IG_P01_C07</x:v>
      </x:c>
      <x:c r="B80" s="6" t="str">
        <x:v>IG_P01</x:v>
      </x:c>
      <x:c r="C80" s="6" t="str">
        <x:v>Instagram</x:v>
      </x:c>
      <x:c r="D80" s="6" t="str">
        <x:v>IG_P01_U07</x:v>
      </x:c>
      <x:c r="E80" s="6" t="str">
        <x:v>😍❤️</x:v>
      </x:c>
      <x:c r="F80" s="6" t="str">
        <x:v>102 w</x:v>
      </x:c>
      <x:c r="G80" s="6" t="d">
        <x:v>2024-10-29T07:10:41.000Z</x:v>
      </x:c>
      <x:c r="H80" s="6" t="n">
        <x:v>7</x:v>
      </x:c>
      <x:c r="I80" s="6" t="str">
        <x:v>Browser-visible accessibility text; manually transcribed and reviewed</x:v>
      </x:c>
      <x:c r="J80" s="6" t="str">
        <x:v>RESEARCH_WORKSPACE/Outputs/SaSa_Section_2_2/support/browser_evidence/IG_P01_comments.txt</x:v>
      </x:c>
      <x:c r="K80" s="6" t="str">
        <x:v>https://www.instagram.com/reel/DBsunJ9SSmy/</x:v>
      </x:c>
      <x:c r="L80" s="6" t="str">
        <x:v>2026-10-19 to 2026-10-20 Hong Kong time</x:v>
      </x:c>
      <x:c r="M80" s="6" t="str">
        <x:v>unknown_or_out_of_window</x:v>
      </x:c>
    </x:row>
    <x:row r="81" ht="38" customHeight="1">
      <x:c r="A81" s="6" t="str">
        <x:v>IG_P02_C01</x:v>
      </x:c>
      <x:c r="B81" s="6" t="str">
        <x:v>IG_P02</x:v>
      </x:c>
      <x:c r="C81" s="6" t="str">
        <x:v>Instagram</x:v>
      </x:c>
      <x:c r="D81" s="6" t="str">
        <x:v>IG_P02_U01</x:v>
      </x:c>
      <x:c r="E81" s="6" t="str">
        <x:v>Gorg 🥹✨🫶🏼</x:v>
      </x:c>
      <x:c r="F81" s="6" t="str">
        <x:v>9 w</x:v>
      </x:c>
      <x:c r="G81" s="6" t="str"/>
      <x:c r="H81" s="6" t="n">
        <x:v>1</x:v>
      </x:c>
      <x:c r="I81" s="6" t="str">
        <x:v>Browser-visible accessibility text; manually transcribed and reviewed</x:v>
      </x:c>
      <x:c r="J81" s="6" t="str">
        <x:v>RESEARCH_WORKSPACE/Outputs/SaSa_Section_2_2/support/browser_evidence/IG_P02_initial.txt</x:v>
      </x:c>
      <x:c r="K81" s="6" t="str">
        <x:v>https://www.instagram.com/p/DAkUGZYpazx/</x:v>
      </x:c>
      <x:c r="L81" s="6" t="str">
        <x:v>2026-10-19 to 2026-10-20 Hong Kong time</x:v>
      </x:c>
      <x:c r="M81" s="6" t="str">
        <x:v>outside_selected_window_relative_weeks</x:v>
      </x:c>
    </x:row>
    <x:row r="82" ht="38" customHeight="1">
      <x:c r="A82" s="6" t="str">
        <x:v>IG_P02_C02</x:v>
      </x:c>
      <x:c r="B82" s="6" t="str">
        <x:v>IG_P02</x:v>
      </x:c>
      <x:c r="C82" s="6" t="str">
        <x:v>Instagram</x:v>
      </x:c>
      <x:c r="D82" s="6" t="str">
        <x:v>IG_P02_U02</x:v>
      </x:c>
      <x:c r="E82" s="6" t="str">
        <x:v>😍😍😍</x:v>
      </x:c>
      <x:c r="F82" s="6" t="str">
        <x:v>12 w</x:v>
      </x:c>
      <x:c r="G82" s="6" t="str"/>
      <x:c r="H82" s="6" t="n">
        <x:v>2</x:v>
      </x:c>
      <x:c r="I82" s="6" t="str">
        <x:v>Browser-visible accessibility text; manually transcribed and reviewed</x:v>
      </x:c>
      <x:c r="J82" s="6" t="str">
        <x:v>RESEARCH_WORKSPACE/Outputs/SaSa_Section_2_2/support/browser_evidence/IG_P02_initial.txt</x:v>
      </x:c>
      <x:c r="K82" s="6" t="str">
        <x:v>https://www.instagram.com/p/DAkUGZYpazx/</x:v>
      </x:c>
      <x:c r="L82" s="6" t="str">
        <x:v>2026-10-19 to 2026-10-20 Hong Kong time</x:v>
      </x:c>
      <x:c r="M82" s="6" t="str">
        <x:v>outside_selected_window_relative_weeks</x:v>
      </x:c>
    </x:row>
    <x:row r="83" ht="38" customHeight="1">
      <x:c r="A83" s="6" t="str">
        <x:v>IG_P02_C03</x:v>
      </x:c>
      <x:c r="B83" s="6" t="str">
        <x:v>IG_P02</x:v>
      </x:c>
      <x:c r="C83" s="6" t="str">
        <x:v>Instagram</x:v>
      </x:c>
      <x:c r="D83" s="6" t="str">
        <x:v>IG_P02_U03</x:v>
      </x:c>
      <x:c r="E83" s="6" t="str">
        <x:v>❤️</x:v>
      </x:c>
      <x:c r="F83" s="6" t="str">
        <x:v>13 w</x:v>
      </x:c>
      <x:c r="G83" s="6" t="str"/>
      <x:c r="H83" s="6" t="n">
        <x:v>3</x:v>
      </x:c>
      <x:c r="I83" s="6" t="str">
        <x:v>Browser-visible accessibility text; manually transcribed and reviewed</x:v>
      </x:c>
      <x:c r="J83" s="6" t="str">
        <x:v>RESEARCH_WORKSPACE/Outputs/SaSa_Section_2_2/support/browser_evidence/IG_P02_initial.txt</x:v>
      </x:c>
      <x:c r="K83" s="6" t="str">
        <x:v>https://www.instagram.com/p/DAkUGZYpazx/</x:v>
      </x:c>
      <x:c r="L83" s="6" t="str">
        <x:v>2026-10-19 to 2026-10-20 Hong Kong time</x:v>
      </x:c>
      <x:c r="M83" s="6" t="str">
        <x:v>outside_selected_window_relative_weeks</x:v>
      </x:c>
    </x:row>
    <x:row r="84" ht="38" customHeight="1">
      <x:c r="A84" s="6" t="str">
        <x:v>IG_P02_C04</x:v>
      </x:c>
      <x:c r="B84" s="6" t="str">
        <x:v>IG_P02</x:v>
      </x:c>
      <x:c r="C84" s="6" t="str">
        <x:v>Instagram</x:v>
      </x:c>
      <x:c r="D84" s="6" t="str">
        <x:v>IG_P02_U04</x:v>
      </x:c>
      <x:c r="E84" s="6" t="str">
        <x:v>i love u to the moon and back</x:v>
      </x:c>
      <x:c r="F84" s="6" t="str">
        <x:v>19 w</x:v>
      </x:c>
      <x:c r="G84" s="6" t="str"/>
      <x:c r="H84" s="6" t="n">
        <x:v>4</x:v>
      </x:c>
      <x:c r="I84" s="6" t="str">
        <x:v>Browser-visible accessibility text; manually transcribed and reviewed</x:v>
      </x:c>
      <x:c r="J84" s="6" t="str">
        <x:v>RESEARCH_WORKSPACE/Outputs/SaSa_Section_2_2/support/browser_evidence/IG_P02_initial.txt</x:v>
      </x:c>
      <x:c r="K84" s="6" t="str">
        <x:v>https://www.instagram.com/p/DAkUGZYpazx/</x:v>
      </x:c>
      <x:c r="L84" s="6" t="str">
        <x:v>2026-10-19 to 2026-10-20 Hong Kong time</x:v>
      </x:c>
      <x:c r="M84" s="6" t="str">
        <x:v>outside_selected_window_relative_weeks</x:v>
      </x:c>
    </x:row>
    <x:row r="85" ht="38" customHeight="1">
      <x:c r="A85" s="6" t="str">
        <x:v>IG_P02_C05</x:v>
      </x:c>
      <x:c r="B85" s="6" t="str">
        <x:v>IG_P02</x:v>
      </x:c>
      <x:c r="C85" s="6" t="str">
        <x:v>Instagram</x:v>
      </x:c>
      <x:c r="D85" s="6" t="str">
        <x:v>IG_P02_U05</x:v>
      </x:c>
      <x:c r="E85" s="6" t="str">
        <x:v>👶🏻</x:v>
      </x:c>
      <x:c r="F85" s="6" t="str">
        <x:v>30 w</x:v>
      </x:c>
      <x:c r="G85" s="6" t="str"/>
      <x:c r="H85" s="6" t="n">
        <x:v>5</x:v>
      </x:c>
      <x:c r="I85" s="6" t="str">
        <x:v>Browser-visible accessibility text; manually transcribed and reviewed</x:v>
      </x:c>
      <x:c r="J85" s="6" t="str">
        <x:v>RESEARCH_WORKSPACE/Outputs/SaSa_Section_2_2/support/browser_evidence/IG_P02_initial.txt</x:v>
      </x:c>
      <x:c r="K85" s="6" t="str">
        <x:v>https://www.instagram.com/p/DAkUGZYpazx/</x:v>
      </x:c>
      <x:c r="L85" s="6" t="str">
        <x:v>2026-10-19 to 2026-10-20 Hong Kong time</x:v>
      </x:c>
      <x:c r="M85" s="6" t="str">
        <x:v>outside_selected_window_relative_weeks</x:v>
      </x:c>
    </x:row>
    <x:row r="86" ht="38" customHeight="1">
      <x:c r="A86" s="6" t="str">
        <x:v>IG_P02_C06</x:v>
      </x:c>
      <x:c r="B86" s="6" t="str">
        <x:v>IG_P02</x:v>
      </x:c>
      <x:c r="C86" s="6" t="str">
        <x:v>Instagram</x:v>
      </x:c>
      <x:c r="D86" s="6" t="str">
        <x:v>IG_P02_U06</x:v>
      </x:c>
      <x:c r="E86" s="6" t="str">
        <x:v>Gorgeous 👏</x:v>
      </x:c>
      <x:c r="F86" s="6" t="str">
        <x:v>31 w</x:v>
      </x:c>
      <x:c r="G86" s="6" t="str"/>
      <x:c r="H86" s="6" t="n">
        <x:v>6</x:v>
      </x:c>
      <x:c r="I86" s="6" t="str">
        <x:v>Browser-visible accessibility text; manually transcribed and reviewed</x:v>
      </x:c>
      <x:c r="J86" s="6" t="str">
        <x:v>RESEARCH_WORKSPACE/Outputs/SaSa_Section_2_2/support/browser_evidence/IG_P02_initial.txt</x:v>
      </x:c>
      <x:c r="K86" s="6" t="str">
        <x:v>https://www.instagram.com/p/DAkUGZYpazx/</x:v>
      </x:c>
      <x:c r="L86" s="6" t="str">
        <x:v>2026-10-19 to 2026-10-20 Hong Kong time</x:v>
      </x:c>
      <x:c r="M86" s="6" t="str">
        <x:v>outside_selected_window_relative_weeks</x:v>
      </x:c>
    </x:row>
    <x:row r="87" ht="38" customHeight="1">
      <x:c r="A87" s="6" t="str">
        <x:v>IG_P02_C07</x:v>
      </x:c>
      <x:c r="B87" s="6" t="str">
        <x:v>IG_P02</x:v>
      </x:c>
      <x:c r="C87" s="6" t="str">
        <x:v>Instagram</x:v>
      </x:c>
      <x:c r="D87" s="6" t="str">
        <x:v>IG_P02_U07</x:v>
      </x:c>
      <x:c r="E87" s="6" t="str">
        <x:v>SOO PRETTYYY😍😍😍</x:v>
      </x:c>
      <x:c r="F87" s="6" t="str">
        <x:v>31 w</x:v>
      </x:c>
      <x:c r="G87" s="6" t="str"/>
      <x:c r="H87" s="6" t="n">
        <x:v>7</x:v>
      </x:c>
      <x:c r="I87" s="6" t="str">
        <x:v>Browser-visible accessibility text; manually transcribed and reviewed</x:v>
      </x:c>
      <x:c r="J87" s="6" t="str">
        <x:v>RESEARCH_WORKSPACE/Outputs/SaSa_Section_2_2/support/browser_evidence/IG_P02_initial.txt</x:v>
      </x:c>
      <x:c r="K87" s="6" t="str">
        <x:v>https://www.instagram.com/p/DAkUGZYpazx/</x:v>
      </x:c>
      <x:c r="L87" s="6" t="str">
        <x:v>2026-10-19 to 2026-10-20 Hong Kong time</x:v>
      </x:c>
      <x:c r="M87" s="6" t="str">
        <x:v>outside_selected_window_relative_weeks</x:v>
      </x:c>
    </x:row>
    <x:row r="88" ht="38" customHeight="1">
      <x:c r="A88" s="6" t="str">
        <x:v>IG_P02_C08</x:v>
      </x:c>
      <x:c r="B88" s="6" t="str">
        <x:v>IG_P02</x:v>
      </x:c>
      <x:c r="C88" s="6" t="str">
        <x:v>Instagram</x:v>
      </x:c>
      <x:c r="D88" s="6" t="str">
        <x:v>IG_P02_U08</x:v>
      </x:c>
      <x:c r="E88" s="6" t="str">
        <x:v>Gorgeous Ari 😍</x:v>
      </x:c>
      <x:c r="F88" s="6" t="str">
        <x:v>31 w</x:v>
      </x:c>
      <x:c r="G88" s="6" t="str"/>
      <x:c r="H88" s="6" t="n">
        <x:v>8</x:v>
      </x:c>
      <x:c r="I88" s="6" t="str">
        <x:v>Browser-visible accessibility text; manually transcribed and reviewed</x:v>
      </x:c>
      <x:c r="J88" s="6" t="str">
        <x:v>RESEARCH_WORKSPACE/Outputs/SaSa_Section_2_2/support/browser_evidence/IG_P02_initial.txt</x:v>
      </x:c>
      <x:c r="K88" s="6" t="str">
        <x:v>https://www.instagram.com/p/DAkUGZYpazx/</x:v>
      </x:c>
      <x:c r="L88" s="6" t="str">
        <x:v>2026-10-19 to 2026-10-20 Hong Kong time</x:v>
      </x:c>
      <x:c r="M88" s="6" t="str">
        <x:v>outside_selected_window_relative_weeks</x:v>
      </x:c>
    </x:row>
    <x:row r="89" ht="38" customHeight="1">
      <x:c r="A89" s="6" t="str">
        <x:v>IG_P02_C09</x:v>
      </x:c>
      <x:c r="B89" s="6" t="str">
        <x:v>IG_P02</x:v>
      </x:c>
      <x:c r="C89" s="6" t="str">
        <x:v>Instagram</x:v>
      </x:c>
      <x:c r="D89" s="6" t="str">
        <x:v>IG_P02_U09</x:v>
      </x:c>
      <x:c r="E89" s="6" t="str">
        <x:v>I love you ❤️</x:v>
      </x:c>
      <x:c r="F89" s="6" t="str">
        <x:v>31 w</x:v>
      </x:c>
      <x:c r="G89" s="6" t="str"/>
      <x:c r="H89" s="6" t="n">
        <x:v>9</x:v>
      </x:c>
      <x:c r="I89" s="6" t="str">
        <x:v>Browser-visible accessibility text; manually transcribed and reviewed</x:v>
      </x:c>
      <x:c r="J89" s="6" t="str">
        <x:v>RESEARCH_WORKSPACE/Outputs/SaSa_Section_2_2/support/browser_evidence/IG_P02_initial.txt</x:v>
      </x:c>
      <x:c r="K89" s="6" t="str">
        <x:v>https://www.instagram.com/p/DAkUGZYpazx/</x:v>
      </x:c>
      <x:c r="L89" s="6" t="str">
        <x:v>2026-10-19 to 2026-10-20 Hong Kong time</x:v>
      </x:c>
      <x:c r="M89" s="6" t="str">
        <x:v>outside_selected_window_relative_weeks</x:v>
      </x:c>
    </x:row>
    <x:row r="90" ht="38" customHeight="1">
      <x:c r="A90" s="6" t="str">
        <x:v>IG_P02_C10</x:v>
      </x:c>
      <x:c r="B90" s="6" t="str">
        <x:v>IG_P02</x:v>
      </x:c>
      <x:c r="C90" s="6" t="str">
        <x:v>Instagram</x:v>
      </x:c>
      <x:c r="D90" s="6" t="str">
        <x:v>IG_P02_U10</x:v>
      </x:c>
      <x:c r="E90" s="6" t="str">
        <x:v>Omg 😍😍😍</x:v>
      </x:c>
      <x:c r="F90" s="6" t="str">
        <x:v>38 w</x:v>
      </x:c>
      <x:c r="G90" s="6" t="str"/>
      <x:c r="H90" s="6" t="n">
        <x:v>10</x:v>
      </x:c>
      <x:c r="I90" s="6" t="str">
        <x:v>Browser-visible accessibility text; manually transcribed and reviewed</x:v>
      </x:c>
      <x:c r="J90" s="6" t="str">
        <x:v>RESEARCH_WORKSPACE/Outputs/SaSa_Section_2_2/support/browser_evidence/IG_P02_initial.txt</x:v>
      </x:c>
      <x:c r="K90" s="6" t="str">
        <x:v>https://www.instagram.com/p/DAkUGZYpazx/</x:v>
      </x:c>
      <x:c r="L90" s="6" t="str">
        <x:v>2026-10-19 to 2026-10-20 Hong Kong time</x:v>
      </x:c>
      <x:c r="M90" s="6" t="str">
        <x:v>outside_selected_window_relative_weeks</x:v>
      </x:c>
    </x:row>
    <x:row r="91" ht="38" customHeight="1">
      <x:c r="A91" s="6" t="str">
        <x:v>IG_P02_C11</x:v>
      </x:c>
      <x:c r="B91" s="6" t="str">
        <x:v>IG_P02</x:v>
      </x:c>
      <x:c r="C91" s="6" t="str">
        <x:v>Instagram</x:v>
      </x:c>
      <x:c r="D91" s="6" t="str">
        <x:v>IG_P02_U11</x:v>
      </x:c>
      <x:c r="E91" s="6" t="str">
        <x:v>💙💙💙</x:v>
      </x:c>
      <x:c r="F91" s="6" t="str">
        <x:v>38 w</x:v>
      </x:c>
      <x:c r="G91" s="6" t="str"/>
      <x:c r="H91" s="6" t="n">
        <x:v>11</x:v>
      </x:c>
      <x:c r="I91" s="6" t="str">
        <x:v>Browser-visible accessibility text; manually transcribed and reviewed</x:v>
      </x:c>
      <x:c r="J91" s="6" t="str">
        <x:v>RESEARCH_WORKSPACE/Outputs/SaSa_Section_2_2/support/browser_evidence/IG_P02_initial.txt</x:v>
      </x:c>
      <x:c r="K91" s="6" t="str">
        <x:v>https://www.instagram.com/p/DAkUGZYpazx/</x:v>
      </x:c>
      <x:c r="L91" s="6" t="str">
        <x:v>2026-10-19 to 2026-10-20 Hong Kong time</x:v>
      </x:c>
      <x:c r="M91" s="6" t="str">
        <x:v>outside_selected_window_relative_weeks</x:v>
      </x:c>
    </x:row>
    <x:row r="92" ht="38" customHeight="1">
      <x:c r="A92" s="6" t="str">
        <x:v>IG_P02_C12</x:v>
      </x:c>
      <x:c r="B92" s="6" t="str">
        <x:v>IG_P02</x:v>
      </x:c>
      <x:c r="C92" s="6" t="str">
        <x:v>Instagram</x:v>
      </x:c>
      <x:c r="D92" s="6" t="str">
        <x:v>IG_P02_U12</x:v>
      </x:c>
      <x:c r="E92" s="6" t="str">
        <x:v>Maravilhosa demais ❤️❤️❤️❤️❤️👏👏</x:v>
      </x:c>
      <x:c r="F92" s="6" t="str">
        <x:v>38 w</x:v>
      </x:c>
      <x:c r="G92" s="6" t="str"/>
      <x:c r="H92" s="6" t="n">
        <x:v>12</x:v>
      </x:c>
      <x:c r="I92" s="6" t="str">
        <x:v>Browser-visible accessibility text; manually transcribed and reviewed</x:v>
      </x:c>
      <x:c r="J92" s="6" t="str">
        <x:v>RESEARCH_WORKSPACE/Outputs/SaSa_Section_2_2/support/browser_evidence/IG_P02_initial.txt</x:v>
      </x:c>
      <x:c r="K92" s="6" t="str">
        <x:v>https://www.instagram.com/p/DAkUGZYpazx/</x:v>
      </x:c>
      <x:c r="L92" s="6" t="str">
        <x:v>2026-10-19 to 2026-10-20 Hong Kong time</x:v>
      </x:c>
      <x:c r="M92" s="6" t="str">
        <x:v>outside_selected_window_relative_weeks</x:v>
      </x:c>
    </x:row>
    <x:row r="93" ht="38" customHeight="1">
      <x:c r="A93" s="6" t="str">
        <x:v>IG_P03_C01</x:v>
      </x:c>
      <x:c r="B93" s="6" t="str">
        <x:v>IG_P03</x:v>
      </x:c>
      <x:c r="C93" s="6" t="str">
        <x:v>Instagram</x:v>
      </x:c>
      <x:c r="D93" s="6" t="str">
        <x:v>IG_P03_U01</x:v>
      </x:c>
      <x:c r="E93" s="6" t="str">
        <x:v>were did you get all the stuff for it</x:v>
      </x:c>
      <x:c r="F93" s="6" t="str">
        <x:v>52 w</x:v>
      </x:c>
      <x:c r="G93" s="6" t="d">
        <x:v>2025-10-18T09:35:58.000Z</x:v>
      </x:c>
      <x:c r="H93" s="6" t="n">
        <x:v>1</x:v>
      </x:c>
      <x:c r="I93" s="6" t="str">
        <x:v>Browser DOM snapshot; manually transcribed and reviewed</x:v>
      </x:c>
      <x:c r="J93" s="6" t="str">
        <x:v>RESEARCH_WORKSPACE/Outputs/SaSa_Section_2_2/support/browser_evidence/IG_P03_full.txt</x:v>
      </x:c>
      <x:c r="K93" s="6" t="str">
        <x:v>https://www.instagram.com/p/DAmZYfus0fa/</x:v>
      </x:c>
      <x:c r="L93" s="6" t="str">
        <x:v>2026-10-19 to 2026-10-20 Hong Kong time</x:v>
      </x:c>
      <x:c r="M93" s="6" t="str">
        <x:v>unknown</x:v>
      </x:c>
    </x:row>
    <x:row r="94" ht="38" customHeight="1">
      <x:c r="A94" s="6" t="str">
        <x:v>IG_P03_C02</x:v>
      </x:c>
      <x:c r="B94" s="6" t="str">
        <x:v>IG_P03</x:v>
      </x:c>
      <x:c r="C94" s="6" t="str">
        <x:v>Instagram</x:v>
      </x:c>
      <x:c r="D94" s="6" t="str">
        <x:v>IG_P03_U02</x:v>
      </x:c>
      <x:c r="E94" s="6" t="str">
        <x:v>@caroline_mertins</x:v>
      </x:c>
      <x:c r="F94" s="6" t="str">
        <x:v>102 w</x:v>
      </x:c>
      <x:c r="G94" s="6" t="d">
        <x:v>2024-10-30T05:58:14.000Z</x:v>
      </x:c>
      <x:c r="H94" s="6" t="n">
        <x:v>2</x:v>
      </x:c>
      <x:c r="I94" s="6" t="str">
        <x:v>Browser DOM snapshot; manually transcribed and reviewed</x:v>
      </x:c>
      <x:c r="J94" s="6" t="str">
        <x:v>RESEARCH_WORKSPACE/Outputs/SaSa_Section_2_2/support/browser_evidence/IG_P03_full.txt</x:v>
      </x:c>
      <x:c r="K94" s="6" t="str">
        <x:v>https://www.instagram.com/p/DAmZYfus0fa/</x:v>
      </x:c>
      <x:c r="L94" s="6" t="str">
        <x:v>2026-10-19 to 2026-10-20 Hong Kong time</x:v>
      </x:c>
      <x:c r="M94" s="6" t="str">
        <x:v>unknown</x:v>
      </x:c>
    </x:row>
    <x:row r="95" ht="38" customHeight="1">
      <x:c r="A95" s="6" t="str">
        <x:v>IG_P03_C03</x:v>
      </x:c>
      <x:c r="B95" s="6" t="str">
        <x:v>IG_P03</x:v>
      </x:c>
      <x:c r="C95" s="6" t="str">
        <x:v>Instagram</x:v>
      </x:c>
      <x:c r="D95" s="6" t="str">
        <x:v>IG_P03_U03</x:v>
      </x:c>
      <x:c r="E95" s="6" t="str">
        <x:v>Gorgeous 🖤</x:v>
      </x:c>
      <x:c r="F95" s="6" t="str">
        <x:v>102 w</x:v>
      </x:c>
      <x:c r="G95" s="6" t="d">
        <x:v>2024-10-29T04:05:05.000Z</x:v>
      </x:c>
      <x:c r="H95" s="6" t="n">
        <x:v>3</x:v>
      </x:c>
      <x:c r="I95" s="6" t="str">
        <x:v>Browser DOM snapshot; manually transcribed and reviewed</x:v>
      </x:c>
      <x:c r="J95" s="6" t="str">
        <x:v>RESEARCH_WORKSPACE/Outputs/SaSa_Section_2_2/support/browser_evidence/IG_P03_full.txt</x:v>
      </x:c>
      <x:c r="K95" s="6" t="str">
        <x:v>https://www.instagram.com/p/DAmZYfus0fa/</x:v>
      </x:c>
      <x:c r="L95" s="6" t="str">
        <x:v>2026-10-19 to 2026-10-20 Hong Kong time</x:v>
      </x:c>
      <x:c r="M95" s="6" t="str">
        <x:v>unknown</x:v>
      </x:c>
    </x:row>
    <x:row r="96" ht="38" customHeight="1">
      <x:c r="A96" s="6" t="str">
        <x:v>IG_P03_C04</x:v>
      </x:c>
      <x:c r="B96" s="6" t="str">
        <x:v>IG_P03</x:v>
      </x:c>
      <x:c r="C96" s="6" t="str">
        <x:v>Instagram</x:v>
      </x:c>
      <x:c r="D96" s="6" t="str">
        <x:v>IG_P03_U04</x:v>
      </x:c>
      <x:c r="E96" s="6" t="str">
        <x:v>Wow ❤️it's great</x:v>
      </x:c>
      <x:c r="F96" s="6" t="str">
        <x:v>103 w</x:v>
      </x:c>
      <x:c r="G96" s="6" t="d">
        <x:v>2024-10-27T14:00:18.000Z</x:v>
      </x:c>
      <x:c r="H96" s="6" t="n">
        <x:v>4</x:v>
      </x:c>
      <x:c r="I96" s="6" t="str">
        <x:v>Browser DOM snapshot; manually transcribed and reviewed</x:v>
      </x:c>
      <x:c r="J96" s="6" t="str">
        <x:v>RESEARCH_WORKSPACE/Outputs/SaSa_Section_2_2/support/browser_evidence/IG_P03_full.txt</x:v>
      </x:c>
      <x:c r="K96" s="6" t="str">
        <x:v>https://www.instagram.com/p/DAmZYfus0fa/</x:v>
      </x:c>
      <x:c r="L96" s="6" t="str">
        <x:v>2026-10-19 to 2026-10-20 Hong Kong time</x:v>
      </x:c>
      <x:c r="M96" s="6" t="str">
        <x:v>unknown</x:v>
      </x:c>
    </x:row>
    <x:row r="97" ht="38" customHeight="1">
      <x:c r="A97" s="6" t="str">
        <x:v>IG_P03_C05</x:v>
      </x:c>
      <x:c r="B97" s="6" t="str">
        <x:v>IG_P03</x:v>
      </x:c>
      <x:c r="C97" s="6" t="str">
        <x:v>Instagram</x:v>
      </x:c>
      <x:c r="D97" s="6" t="str">
        <x:v>IG_P03_U05</x:v>
      </x:c>
      <x:c r="E97" s="6" t="str">
        <x:v>😍😍😍</x:v>
      </x:c>
      <x:c r="F97" s="6" t="str">
        <x:v>103 w</x:v>
      </x:c>
      <x:c r="G97" s="6" t="d">
        <x:v>2024-10-27T04:36:15.000Z</x:v>
      </x:c>
      <x:c r="H97" s="6" t="n">
        <x:v>5</x:v>
      </x:c>
      <x:c r="I97" s="6" t="str">
        <x:v>Browser DOM snapshot; manually transcribed and reviewed</x:v>
      </x:c>
      <x:c r="J97" s="6" t="str">
        <x:v>RESEARCH_WORKSPACE/Outputs/SaSa_Section_2_2/support/browser_evidence/IG_P03_full.txt</x:v>
      </x:c>
      <x:c r="K97" s="6" t="str">
        <x:v>https://www.instagram.com/p/DAmZYfus0fa/</x:v>
      </x:c>
      <x:c r="L97" s="6" t="str">
        <x:v>2026-10-19 to 2026-10-20 Hong Kong time</x:v>
      </x:c>
      <x:c r="M97" s="6" t="str">
        <x:v>unknown</x:v>
      </x:c>
    </x:row>
    <x:row r="98" ht="38" customHeight="1">
      <x:c r="A98" s="6" t="str">
        <x:v>IG_P03_C06</x:v>
      </x:c>
      <x:c r="B98" s="6" t="str">
        <x:v>IG_P03</x:v>
      </x:c>
      <x:c r="C98" s="6" t="str">
        <x:v>Instagram</x:v>
      </x:c>
      <x:c r="D98" s="6" t="str">
        <x:v>IG_P03_U06</x:v>
      </x:c>
      <x:c r="E98" s="6" t="str">
        <x:v>show👏</x:v>
      </x:c>
      <x:c r="F98" s="6" t="str">
        <x:v>103 w</x:v>
      </x:c>
      <x:c r="G98" s="6" t="d">
        <x:v>2024-10-25T10:23:47.000Z</x:v>
      </x:c>
      <x:c r="H98" s="6" t="n">
        <x:v>6</x:v>
      </x:c>
      <x:c r="I98" s="6" t="str">
        <x:v>Browser DOM snapshot; manually transcribed and reviewed</x:v>
      </x:c>
      <x:c r="J98" s="6" t="str">
        <x:v>RESEARCH_WORKSPACE/Outputs/SaSa_Section_2_2/support/browser_evidence/IG_P03_full.txt</x:v>
      </x:c>
      <x:c r="K98" s="6" t="str">
        <x:v>https://www.instagram.com/p/DAmZYfus0fa/</x:v>
      </x:c>
      <x:c r="L98" s="6" t="str">
        <x:v>2026-10-19 to 2026-10-20 Hong Kong time</x:v>
      </x:c>
      <x:c r="M98" s="6" t="str">
        <x:v>unknown</x:v>
      </x:c>
    </x:row>
    <x:row r="99" ht="38" customHeight="1">
      <x:c r="A99" s="6" t="str">
        <x:v>IG_P03_C07</x:v>
      </x:c>
      <x:c r="B99" s="6" t="str">
        <x:v>IG_P03</x:v>
      </x:c>
      <x:c r="C99" s="6" t="str">
        <x:v>Instagram</x:v>
      </x:c>
      <x:c r="D99" s="6" t="str">
        <x:v>IG_P03_U07</x:v>
      </x:c>
      <x:c r="E99" s="6" t="str">
        <x:v>🔥 Happy Halloween! Checkout #bones on our IG!</x:v>
      </x:c>
      <x:c r="F99" s="6" t="str">
        <x:v>103 w</x:v>
      </x:c>
      <x:c r="G99" s="6" t="d">
        <x:v>2024-10-21T20:28:25.000Z</x:v>
      </x:c>
      <x:c r="H99" s="6" t="n">
        <x:v>7</x:v>
      </x:c>
      <x:c r="I99" s="6" t="str">
        <x:v>Browser DOM snapshot; manually transcribed and reviewed</x:v>
      </x:c>
      <x:c r="J99" s="6" t="str">
        <x:v>RESEARCH_WORKSPACE/Outputs/SaSa_Section_2_2/support/browser_evidence/IG_P03_full.txt</x:v>
      </x:c>
      <x:c r="K99" s="6" t="str">
        <x:v>https://www.instagram.com/p/DAmZYfus0fa/</x:v>
      </x:c>
      <x:c r="L99" s="6" t="str">
        <x:v>2026-10-19 to 2026-10-20 Hong Kong time</x:v>
      </x:c>
      <x:c r="M99" s="6" t="str">
        <x:v>unknown</x:v>
      </x:c>
    </x:row>
    <x:row r="100" ht="38" customHeight="1">
      <x:c r="A100" s="6" t="str">
        <x:v>IG_P03_C08</x:v>
      </x:c>
      <x:c r="B100" s="6" t="str">
        <x:v>IG_P03</x:v>
      </x:c>
      <x:c r="C100" s="6" t="str">
        <x:v>Instagram</x:v>
      </x:c>
      <x:c r="D100" s="6" t="str">
        <x:v>IG_P03_U08</x:v>
      </x:c>
      <x:c r="E100" s="6" t="str">
        <x:v>I am OBSESSED with</x:v>
      </x:c>
      <x:c r="F100" s="6" t="str">
        <x:v>103 w</x:v>
      </x:c>
      <x:c r="G100" s="6" t="d">
        <x:v>2024-10-21T20:05:18.000Z</x:v>
      </x:c>
      <x:c r="H100" s="6" t="n">
        <x:v>8</x:v>
      </x:c>
      <x:c r="I100" s="6" t="str">
        <x:v>Browser DOM snapshot; manually transcribed and reviewed</x:v>
      </x:c>
      <x:c r="J100" s="6" t="str">
        <x:v>RESEARCH_WORKSPACE/Outputs/SaSa_Section_2_2/support/browser_evidence/IG_P03_full.txt</x:v>
      </x:c>
      <x:c r="K100" s="6" t="str">
        <x:v>https://www.instagram.com/p/DAmZYfus0fa/</x:v>
      </x:c>
      <x:c r="L100" s="6" t="str">
        <x:v>2026-10-19 to 2026-10-20 Hong Kong time</x:v>
      </x:c>
      <x:c r="M100" s="6" t="str">
        <x:v>unknown</x:v>
      </x:c>
    </x:row>
    <x:row r="101" ht="38" customHeight="1">
      <x:c r="A101" s="6" t="str">
        <x:v>IG_P03_C09</x:v>
      </x:c>
      <x:c r="B101" s="6" t="str">
        <x:v>IG_P03</x:v>
      </x:c>
      <x:c r="C101" s="6" t="str">
        <x:v>Instagram</x:v>
      </x:c>
      <x:c r="D101" s="6" t="str">
        <x:v>IG_P03_U09</x:v>
      </x:c>
      <x:c r="E101" s="6" t="str">
        <x:v>WooooW 😍</x:v>
      </x:c>
      <x:c r="F101" s="6" t="str">
        <x:v>103 w</x:v>
      </x:c>
      <x:c r="G101" s="6" t="d">
        <x:v>2024-10-21T17:37:54.000Z</x:v>
      </x:c>
      <x:c r="H101" s="6" t="n">
        <x:v>9</x:v>
      </x:c>
      <x:c r="I101" s="6" t="str">
        <x:v>Browser DOM snapshot; manually transcribed and reviewed</x:v>
      </x:c>
      <x:c r="J101" s="6" t="str">
        <x:v>RESEARCH_WORKSPACE/Outputs/SaSa_Section_2_2/support/browser_evidence/IG_P03_full.txt</x:v>
      </x:c>
      <x:c r="K101" s="6" t="str">
        <x:v>https://www.instagram.com/p/DAmZYfus0fa/</x:v>
      </x:c>
      <x:c r="L101" s="6" t="str">
        <x:v>2026-10-19 to 2026-10-20 Hong Kong time</x:v>
      </x:c>
      <x:c r="M101" s="6" t="str">
        <x:v>unknown</x:v>
      </x:c>
    </x:row>
    <x:row r="102" ht="38" customHeight="1">
      <x:c r="A102" s="6" t="str">
        <x:v>IG_P03_C10</x:v>
      </x:c>
      <x:c r="B102" s="6" t="str">
        <x:v>IG_P03</x:v>
      </x:c>
      <x:c r="C102" s="6" t="str">
        <x:v>Instagram</x:v>
      </x:c>
      <x:c r="D102" s="6" t="str">
        <x:v>IG_P03_U10</x:v>
      </x:c>
      <x:c r="E102" s="6" t="str">
        <x:v>😍😍😍</x:v>
      </x:c>
      <x:c r="F102" s="6" t="str">
        <x:v>103 w</x:v>
      </x:c>
      <x:c r="G102" s="6" t="d">
        <x:v>2024-10-21T16:11:38.000Z</x:v>
      </x:c>
      <x:c r="H102" s="6" t="n">
        <x:v>10</x:v>
      </x:c>
      <x:c r="I102" s="6" t="str">
        <x:v>Browser DOM snapshot; manually transcribed and reviewed</x:v>
      </x:c>
      <x:c r="J102" s="6" t="str">
        <x:v>RESEARCH_WORKSPACE/Outputs/SaSa_Section_2_2/support/browser_evidence/IG_P03_full.txt</x:v>
      </x:c>
      <x:c r="K102" s="6" t="str">
        <x:v>https://www.instagram.com/p/DAmZYfus0fa/</x:v>
      </x:c>
      <x:c r="L102" s="6" t="str">
        <x:v>2026-10-19 to 2026-10-20 Hong Kong time</x:v>
      </x:c>
      <x:c r="M102" s="6" t="str">
        <x:v>unknown</x:v>
      </x:c>
    </x:row>
    <x:row r="103" ht="38" customHeight="1">
      <x:c r="A103" s="6" t="str">
        <x:v>IG_P03_C11</x:v>
      </x:c>
      <x:c r="B103" s="6" t="str">
        <x:v>IG_P03</x:v>
      </x:c>
      <x:c r="C103" s="6" t="str">
        <x:v>Instagram</x:v>
      </x:c>
      <x:c r="D103" s="6" t="str">
        <x:v>IG_P03_U11</x:v>
      </x:c>
      <x:c r="E103" s="6" t="str">
        <x:v>Genial! Con que te pintantes el cabello?</x:v>
      </x:c>
      <x:c r="F103" s="6" t="str">
        <x:v>103 w</x:v>
      </x:c>
      <x:c r="G103" s="6" t="d">
        <x:v>2024-10-21T13:27:30.000Z</x:v>
      </x:c>
      <x:c r="H103" s="6" t="n">
        <x:v>11</x:v>
      </x:c>
      <x:c r="I103" s="6" t="str">
        <x:v>Browser DOM snapshot; manually transcribed and reviewed</x:v>
      </x:c>
      <x:c r="J103" s="6" t="str">
        <x:v>RESEARCH_WORKSPACE/Outputs/SaSa_Section_2_2/support/browser_evidence/IG_P03_full.txt</x:v>
      </x:c>
      <x:c r="K103" s="6" t="str">
        <x:v>https://www.instagram.com/p/DAmZYfus0fa/</x:v>
      </x:c>
      <x:c r="L103" s="6" t="str">
        <x:v>2026-10-19 to 2026-10-20 Hong Kong time</x:v>
      </x:c>
      <x:c r="M103" s="6" t="str">
        <x:v>unknown</x:v>
      </x:c>
    </x:row>
    <x:row r="104" ht="38" customHeight="1">
      <x:c r="A104" s="6" t="str">
        <x:v>IG_P03_C12</x:v>
      </x:c>
      <x:c r="B104" s="6" t="str">
        <x:v>IG_P03</x:v>
      </x:c>
      <x:c r="C104" s="6" t="str">
        <x:v>Instagram</x:v>
      </x:c>
      <x:c r="D104" s="6" t="str">
        <x:v>IG_P03_U12</x:v>
      </x:c>
      <x:c r="E104" s="6" t="str">
        <x:v>Omg 🔥😍</x:v>
      </x:c>
      <x:c r="F104" s="6" t="str">
        <x:v>103 w</x:v>
      </x:c>
      <x:c r="G104" s="6" t="d">
        <x:v>2024-10-21T13:16:00.000Z</x:v>
      </x:c>
      <x:c r="H104" s="6" t="n">
        <x:v>12</x:v>
      </x:c>
      <x:c r="I104" s="6" t="str">
        <x:v>Browser DOM snapshot; manually transcribed and reviewed</x:v>
      </x:c>
      <x:c r="J104" s="6" t="str">
        <x:v>RESEARCH_WORKSPACE/Outputs/SaSa_Section_2_2/support/browser_evidence/IG_P03_full.txt</x:v>
      </x:c>
      <x:c r="K104" s="6" t="str">
        <x:v>https://www.instagram.com/p/DAmZYfus0fa/</x:v>
      </x:c>
      <x:c r="L104" s="6" t="str">
        <x:v>2026-10-19 to 2026-10-20 Hong Kong time</x:v>
      </x:c>
      <x:c r="M104" s="6" t="str">
        <x:v>unknown</x:v>
      </x:c>
    </x:row>
    <x:row r="105" ht="38" customHeight="1">
      <x:c r="A105" s="6" t="str">
        <x:v>IG_P03_C13</x:v>
      </x:c>
      <x:c r="B105" s="6" t="str">
        <x:v>IG_P03</x:v>
      </x:c>
      <x:c r="C105" s="6" t="str">
        <x:v>Instagram</x:v>
      </x:c>
      <x:c r="D105" s="6" t="str">
        <x:v>IG_P03_U13</x:v>
      </x:c>
      <x:c r="E105" s="6" t="str">
        <x:v>Uau</x:v>
      </x:c>
      <x:c r="F105" s="6" t="str">
        <x:v>104 w</x:v>
      </x:c>
      <x:c r="G105" s="6" t="d">
        <x:v>2024-10-21T04:17:47.000Z</x:v>
      </x:c>
      <x:c r="H105" s="6" t="n">
        <x:v>13</x:v>
      </x:c>
      <x:c r="I105" s="6" t="str">
        <x:v>Browser DOM snapshot; manually transcribed and reviewed</x:v>
      </x:c>
      <x:c r="J105" s="6" t="str">
        <x:v>RESEARCH_WORKSPACE/Outputs/SaSa_Section_2_2/support/browser_evidence/IG_P03_full.txt</x:v>
      </x:c>
      <x:c r="K105" s="6" t="str">
        <x:v>https://www.instagram.com/p/DAmZYfus0fa/</x:v>
      </x:c>
      <x:c r="L105" s="6" t="str">
        <x:v>2026-10-19 to 2026-10-20 Hong Kong time</x:v>
      </x:c>
      <x:c r="M105" s="6" t="str">
        <x:v>unknown</x:v>
      </x:c>
    </x:row>
    <x:row r="106" ht="38" customHeight="1">
      <x:c r="A106" s="6" t="str">
        <x:v>IG_P03_C14</x:v>
      </x:c>
      <x:c r="B106" s="6" t="str">
        <x:v>IG_P03</x:v>
      </x:c>
      <x:c r="C106" s="6" t="str">
        <x:v>Instagram</x:v>
      </x:c>
      <x:c r="D106" s="6" t="str">
        <x:v>IG_P03_U14</x:v>
      </x:c>
      <x:c r="E106" s="6" t="str">
        <x:v>Incredible</x:v>
      </x:c>
      <x:c r="F106" s="6" t="str">
        <x:v>104 w</x:v>
      </x:c>
      <x:c r="G106" s="6" t="d">
        <x:v>2024-10-21T00:25:34.000Z</x:v>
      </x:c>
      <x:c r="H106" s="6" t="n">
        <x:v>14</x:v>
      </x:c>
      <x:c r="I106" s="6" t="str">
        <x:v>Browser DOM snapshot; manually transcribed and reviewed</x:v>
      </x:c>
      <x:c r="J106" s="6" t="str">
        <x:v>RESEARCH_WORKSPACE/Outputs/SaSa_Section_2_2/support/browser_evidence/IG_P03_full.txt</x:v>
      </x:c>
      <x:c r="K106" s="6" t="str">
        <x:v>https://www.instagram.com/p/DAmZYfus0fa/</x:v>
      </x:c>
      <x:c r="L106" s="6" t="str">
        <x:v>2026-10-19 to 2026-10-20 Hong Kong time</x:v>
      </x:c>
      <x:c r="M106" s="6" t="str">
        <x:v>unknown</x:v>
      </x:c>
    </x:row>
    <x:row r="107" ht="38" customHeight="1">
      <x:c r="A107" s="6" t="str">
        <x:v>IG_P03_C15</x:v>
      </x:c>
      <x:c r="B107" s="6" t="str">
        <x:v>IG_P03</x:v>
      </x:c>
      <x:c r="C107" s="6" t="str">
        <x:v>Instagram</x:v>
      </x:c>
      <x:c r="D107" s="6" t="str">
        <x:v>IG_P03_U15</x:v>
      </x:c>
      <x:c r="E107" s="6" t="str">
        <x:v>What about your hair? Is it a wig or something else? You're gorgeous 😍</x:v>
      </x:c>
      <x:c r="F107" s="6" t="str">
        <x:v>104 w</x:v>
      </x:c>
      <x:c r="G107" s="6" t="d">
        <x:v>2024-10-20T09:06:39.000Z</x:v>
      </x:c>
      <x:c r="H107" s="6" t="n">
        <x:v>15</x:v>
      </x:c>
      <x:c r="I107" s="6" t="str">
        <x:v>Browser DOM snapshot; manually transcribed and reviewed</x:v>
      </x:c>
      <x:c r="J107" s="6" t="str">
        <x:v>RESEARCH_WORKSPACE/Outputs/SaSa_Section_2_2/support/browser_evidence/IG_P03_full.txt</x:v>
      </x:c>
      <x:c r="K107" s="6" t="str">
        <x:v>https://www.instagram.com/p/DAmZYfus0fa/</x:v>
      </x:c>
      <x:c r="L107" s="6" t="str">
        <x:v>2026-10-19 to 2026-10-20 Hong Kong time</x:v>
      </x:c>
      <x:c r="M107" s="6" t="str">
        <x:v>unknown</x:v>
      </x:c>
    </x:row>
    <x:row r="108" ht="38" customHeight="1">
      <x:c r="A108" s="6" t="str">
        <x:v>xhs_6ad06a000000000005029b95</x:v>
      </x:c>
      <x:c r="B108" s="6" t="str">
        <x:v>xhs_6aca2fd1000000001a025c97</x:v>
      </x:c>
      <x:c r="C108" s="6" t="str">
        <x:v>Xiaohongshu</x:v>
      </x:c>
      <x:c r="D108" s="6" t="str">
        <x:v>xhs_U_621aadd32ef113ea</x:v>
      </x:c>
      <x:c r="E108" s="6" t="str">
        <x:v>宝宝[皱眉R][皱眉R][皱眉R]求求美瞳</x:v>
      </x:c>
      <x:c r="F108" s="6" t="d">
        <x:v>2026-10-15T05:52:00.000Z</x:v>
      </x:c>
      <x:c r="G108" s="6" t="d">
        <x:v>2026-10-15T05:52:00.000Z</x:v>
      </x:c>
      <x:c r="H108" s="6" t="n">
        <x:v>1</x:v>
      </x:c>
      <x:c r="I108" s="6" t="str">
        <x:v>Code: upstream library adapter; not a browser transcription</x:v>
      </x:c>
      <x:c r="J108" s="6" t="str">
        <x:v>RESEARCH_WORKSPACE/ResearchTools/SaSa_Comment_Collection/data/xhs_research/comments.jsonl</x:v>
      </x:c>
      <x:c r="K108" s="6" t="str">
        <x:v>https://www.xiaohongshu.com/explore/6aca2fd1000000001a025c97</x:v>
      </x:c>
      <x:c r="L108" s="6" t="str">
        <x:v>2026-10-19 to 2026-10-20 Hong Kong time</x:v>
      </x:c>
      <x:c r="M108" s="6" t="str">
        <x:v>2026_extension</x:v>
      </x:c>
    </x:row>
    <x:row r="109" ht="38" customHeight="1">
      <x:c r="A109" s="6" t="str">
        <x:v>xhs_6acb9d8c00000000070110cb</x:v>
      </x:c>
      <x:c r="B109" s="6" t="str">
        <x:v>xhs_6aca2fd1000000001a025c97</x:v>
      </x:c>
      <x:c r="C109" s="6" t="str">
        <x:v>Xiaohongshu</x:v>
      </x:c>
      <x:c r="D109" s="6" t="str">
        <x:v>xhs_U_a3a1262f4771de3f</x:v>
      </x:c>
      <x:c r="E109" s="6" t="str">
        <x:v>什么美瞳呀</x:v>
      </x:c>
      <x:c r="F109" s="6" t="d">
        <x:v>2026-10-11T14:30:36.000Z</x:v>
      </x:c>
      <x:c r="G109" s="6" t="d">
        <x:v>2026-10-11T14:30:36.000Z</x:v>
      </x:c>
      <x:c r="H109" s="6" t="n">
        <x:v>2</x:v>
      </x:c>
      <x:c r="I109" s="6" t="str">
        <x:v>Code: upstream library adapter; not a browser transcription</x:v>
      </x:c>
      <x:c r="J109" s="6" t="str">
        <x:v>RESEARCH_WORKSPACE/ResearchTools/SaSa_Comment_Collection/data/xhs_research/comments.jsonl</x:v>
      </x:c>
      <x:c r="K109" s="6" t="str">
        <x:v>https://www.xiaohongshu.com/explore/6aca2fd1000000001a025c97</x:v>
      </x:c>
      <x:c r="L109" s="6" t="str">
        <x:v>2026-10-19 to 2026-10-20 Hong Kong time</x:v>
      </x:c>
      <x:c r="M109" s="6" t="str">
        <x:v>2026_extension</x:v>
      </x:c>
    </x:row>
    <x:row r="110" ht="38" customHeight="1">
      <x:c r="A110" s="6" t="str">
        <x:v>xhs_6ad31ecd000000000702cfa0</x:v>
      </x:c>
      <x:c r="B110" s="6" t="str">
        <x:v>xhs_6aca2fd1000000001a025c97</x:v>
      </x:c>
      <x:c r="C110" s="6" t="str">
        <x:v>Xiaohongshu</x:v>
      </x:c>
      <x:c r="D110" s="6" t="str">
        <x:v>xhs_U_60abaf18ae6060dd</x:v>
      </x:c>
      <x:c r="E110" s="6" t="str">
        <x:v>球眼线笔</x:v>
      </x:c>
      <x:c r="F110" s="6" t="d">
        <x:v>2026-10-17T07:07:57.000Z</x:v>
      </x:c>
      <x:c r="G110" s="6" t="d">
        <x:v>2026-10-17T07:07:57.000Z</x:v>
      </x:c>
      <x:c r="H110" s="6" t="n">
        <x:v>3</x:v>
      </x:c>
      <x:c r="I110" s="6" t="str">
        <x:v>Code: upstream library adapter; not a browser transcription</x:v>
      </x:c>
      <x:c r="J110" s="6" t="str">
        <x:v>RESEARCH_WORKSPACE/ResearchTools/SaSa_Comment_Collection/data/xhs_research/comments.jsonl</x:v>
      </x:c>
      <x:c r="K110" s="6" t="str">
        <x:v>https://www.xiaohongshu.com/explore/6aca2fd1000000001a025c97</x:v>
      </x:c>
      <x:c r="L110" s="6" t="str">
        <x:v>2026-10-19 to 2026-10-20 Hong Kong time</x:v>
      </x:c>
      <x:c r="M110" s="6" t="str">
        <x:v>2026_extension</x:v>
      </x:c>
    </x:row>
    <x:row r="111" ht="38" customHeight="1">
      <x:c r="A111" s="6" t="str">
        <x:v>xhs_6ad1230e0000000003033eea</x:v>
      </x:c>
      <x:c r="B111" s="6" t="str">
        <x:v>xhs_6aca2fd1000000001a025c97</x:v>
      </x:c>
      <x:c r="C111" s="6" t="str">
        <x:v>Xiaohongshu</x:v>
      </x:c>
      <x:c r="D111" s="6" t="str">
        <x:v>xhs_U_bc81455fca87b498</x:v>
      </x:c>
      <x:c r="E111" s="6" t="str">
        <x:v>宝宝想问问唇釉！好好看[皱眉R]</x:v>
      </x:c>
      <x:c r="F111" s="6" t="d">
        <x:v>2026-10-15T19:01:34.000Z</x:v>
      </x:c>
      <x:c r="G111" s="6" t="d">
        <x:v>2026-10-15T19:01:34.000Z</x:v>
      </x:c>
      <x:c r="H111" s="6" t="n">
        <x:v>4</x:v>
      </x:c>
      <x:c r="I111" s="6" t="str">
        <x:v>Code: upstream library adapter; not a browser transcription</x:v>
      </x:c>
      <x:c r="J111" s="6" t="str">
        <x:v>RESEARCH_WORKSPACE/ResearchTools/SaSa_Comment_Collection/data/xhs_research/comments.jsonl</x:v>
      </x:c>
      <x:c r="K111" s="6" t="str">
        <x:v>https://www.xiaohongshu.com/explore/6aca2fd1000000001a025c97</x:v>
      </x:c>
      <x:c r="L111" s="6" t="str">
        <x:v>2026-10-19 to 2026-10-20 Hong Kong time</x:v>
      </x:c>
      <x:c r="M111" s="6" t="str">
        <x:v>2026_extension</x:v>
      </x:c>
    </x:row>
    <x:row r="112" ht="38" customHeight="1">
      <x:c r="A112" s="6" t="str">
        <x:v>xhs_6ad0c5cf000000001103c258</x:v>
      </x:c>
      <x:c r="B112" s="6" t="str">
        <x:v>xhs_6aca2fd1000000001a025c97</x:v>
      </x:c>
      <x:c r="C112" s="6" t="str">
        <x:v>Xiaohongshu</x:v>
      </x:c>
      <x:c r="D112" s="6" t="str">
        <x:v>xhs_U_b05e2c3c88dadb02</x:v>
      </x:c>
      <x:c r="E112" s="6" t="str">
        <x:v>这是什么笔</x:v>
      </x:c>
      <x:c r="F112" s="6" t="d">
        <x:v>2026-10-15T12:23:44.000Z</x:v>
      </x:c>
      <x:c r="G112" s="6" t="d">
        <x:v>2026-10-15T12:23:44.000Z</x:v>
      </x:c>
      <x:c r="H112" s="6" t="n">
        <x:v>5</x:v>
      </x:c>
      <x:c r="I112" s="6" t="str">
        <x:v>Code: upstream library adapter; not a browser transcription</x:v>
      </x:c>
      <x:c r="J112" s="6" t="str">
        <x:v>RESEARCH_WORKSPACE/ResearchTools/SaSa_Comment_Collection/data/xhs_research/comments.jsonl</x:v>
      </x:c>
      <x:c r="K112" s="6" t="str">
        <x:v>https://www.xiaohongshu.com/explore/6aca2fd1000000001a025c97</x:v>
      </x:c>
      <x:c r="L112" s="6" t="str">
        <x:v>2026-10-19 to 2026-10-20 Hong Kong time</x:v>
      </x:c>
      <x:c r="M112" s="6" t="str">
        <x:v>2026_extension</x:v>
      </x:c>
    </x:row>
    <x:row r="113" ht="38" customHeight="1">
      <x:c r="A113" s="6" t="str">
        <x:v>xhs_6aca4d48000000000b003d40</x:v>
      </x:c>
      <x:c r="B113" s="6" t="str">
        <x:v>xhs_6aca2fd1000000001a025c97</x:v>
      </x:c>
      <x:c r="C113" s="6" t="str">
        <x:v>Xiaohongshu</x:v>
      </x:c>
      <x:c r="D113" s="6" t="str">
        <x:v>xhs_U_4fb9dbfd5ce44eb8</x:v>
      </x:c>
      <x:c r="E113" s="6" t="str">
        <x:v>我天 好可爱 特别是吹气那一下[喝奶茶R][喝奶茶R][喝奶茶R]</x:v>
      </x:c>
      <x:c r="F113" s="6" t="d">
        <x:v>2026-10-10T14:35:54.000Z</x:v>
      </x:c>
      <x:c r="G113" s="6" t="d">
        <x:v>2026-10-10T14:35:54.000Z</x:v>
      </x:c>
      <x:c r="H113" s="6" t="n">
        <x:v>6</x:v>
      </x:c>
      <x:c r="I113" s="6" t="str">
        <x:v>Code: upstream library adapter; not a browser transcription</x:v>
      </x:c>
      <x:c r="J113" s="6" t="str">
        <x:v>RESEARCH_WORKSPACE/ResearchTools/SaSa_Comment_Collection/data/xhs_research/comments.jsonl</x:v>
      </x:c>
      <x:c r="K113" s="6" t="str">
        <x:v>https://www.xiaohongshu.com/explore/6aca2fd1000000001a025c97</x:v>
      </x:c>
      <x:c r="L113" s="6" t="str">
        <x:v>2026-10-19 to 2026-10-20 Hong Kong time</x:v>
      </x:c>
      <x:c r="M113" s="6" t="str">
        <x:v>2026_extension</x:v>
      </x:c>
    </x:row>
    <x:row r="114" ht="38" customHeight="1">
      <x:c r="A114" s="6" t="str">
        <x:v>xhs_6acd427a000000000502ab07</x:v>
      </x:c>
      <x:c r="B114" s="6" t="str">
        <x:v>xhs_6aca2fd1000000001a025c97</x:v>
      </x:c>
      <x:c r="C114" s="6" t="str">
        <x:v>Xiaohongshu</x:v>
      </x:c>
      <x:c r="D114" s="6" t="str">
        <x:v>xhs_U_13c20670a3b6937b</x:v>
      </x:c>
      <x:c r="E114" s="6" t="str">
        <x:v>是白色的眼线笔吗</x:v>
      </x:c>
      <x:c r="F114" s="6" t="d">
        <x:v>2026-10-12T20:26:35.000Z</x:v>
      </x:c>
      <x:c r="G114" s="6" t="d">
        <x:v>2026-10-12T20:26:35.000Z</x:v>
      </x:c>
      <x:c r="H114" s="6" t="n">
        <x:v>7</x:v>
      </x:c>
      <x:c r="I114" s="6" t="str">
        <x:v>Code: upstream library adapter; not a browser transcription</x:v>
      </x:c>
      <x:c r="J114" s="6" t="str">
        <x:v>RESEARCH_WORKSPACE/ResearchTools/SaSa_Comment_Collection/data/xhs_research/comments.jsonl</x:v>
      </x:c>
      <x:c r="K114" s="6" t="str">
        <x:v>https://www.xiaohongshu.com/explore/6aca2fd1000000001a025c97</x:v>
      </x:c>
      <x:c r="L114" s="6" t="str">
        <x:v>2026-10-19 to 2026-10-20 Hong Kong time</x:v>
      </x:c>
      <x:c r="M114" s="6" t="str">
        <x:v>2026_extension</x:v>
      </x:c>
    </x:row>
    <x:row r="115" ht="38" customHeight="1">
      <x:c r="A115" s="6" t="str">
        <x:v>xhs_6aca3052000000000702a7f3</x:v>
      </x:c>
      <x:c r="B115" s="6" t="str">
        <x:v>xhs_6aca2fd1000000001a025c97</x:v>
      </x:c>
      <x:c r="C115" s="6" t="str">
        <x:v>Xiaohongshu</x:v>
      </x:c>
      <x:c r="D115" s="6" t="str">
        <x:v>xhs_U_0b5ca04e7cc18546</x:v>
      </x:c>
      <x:c r="E115" s="6" t="str">
        <x:v>1</x:v>
      </x:c>
      <x:c r="F115" s="6" t="d">
        <x:v>2026-10-10T12:32:19.000Z</x:v>
      </x:c>
      <x:c r="G115" s="6" t="d">
        <x:v>2026-10-10T12:32:19.000Z</x:v>
      </x:c>
      <x:c r="H115" s="6" t="n">
        <x:v>8</x:v>
      </x:c>
      <x:c r="I115" s="6" t="str">
        <x:v>Code: upstream library adapter; not a browser transcription</x:v>
      </x:c>
      <x:c r="J115" s="6" t="str">
        <x:v>RESEARCH_WORKSPACE/ResearchTools/SaSa_Comment_Collection/data/xhs_research/comments.jsonl</x:v>
      </x:c>
      <x:c r="K115" s="6" t="str">
        <x:v>https://www.xiaohongshu.com/explore/6aca2fd1000000001a025c97</x:v>
      </x:c>
      <x:c r="L115" s="6" t="str">
        <x:v>2026-10-19 to 2026-10-20 Hong Kong time</x:v>
      </x:c>
      <x:c r="M115" s="6" t="str">
        <x:v>2026_extension</x:v>
      </x:c>
    </x:row>
    <x:row r="116" ht="38" customHeight="1">
      <x:c r="A116" s="6" t="str">
        <x:v>xhs_6ad31c48000000001001f0b5</x:v>
      </x:c>
      <x:c r="B116" s="6" t="str">
        <x:v>xhs_6aca2fd1000000001a025c97</x:v>
      </x:c>
      <x:c r="C116" s="6" t="str">
        <x:v>Xiaohongshu</x:v>
      </x:c>
      <x:c r="D116" s="6" t="str">
        <x:v>xhs_U_70a7113d22b9a152</x:v>
      </x:c>
      <x:c r="E116" s="6" t="str">
        <x:v>@小洋</x:v>
      </x:c>
      <x:c r="F116" s="6" t="d">
        <x:v>2026-10-17T06:57:13.000Z</x:v>
      </x:c>
      <x:c r="G116" s="6" t="d">
        <x:v>2026-10-17T06:57:13.000Z</x:v>
      </x:c>
      <x:c r="H116" s="6" t="n">
        <x:v>9</x:v>
      </x:c>
      <x:c r="I116" s="6" t="str">
        <x:v>Code: upstream library adapter; not a browser transcription</x:v>
      </x:c>
      <x:c r="J116" s="6" t="str">
        <x:v>RESEARCH_WORKSPACE/ResearchTools/SaSa_Comment_Collection/data/xhs_research/comments.jsonl</x:v>
      </x:c>
      <x:c r="K116" s="6" t="str">
        <x:v>https://www.xiaohongshu.com/explore/6aca2fd1000000001a025c97</x:v>
      </x:c>
      <x:c r="L116" s="6" t="str">
        <x:v>2026-10-19 to 2026-10-20 Hong Kong time</x:v>
      </x:c>
      <x:c r="M116" s="6" t="str">
        <x:v>2026_extension</x:v>
      </x:c>
    </x:row>
    <x:row r="117" ht="38" customHeight="1">
      <x:c r="A117" s="6" t="str">
        <x:v>xhs_6ad0b8e5000000000801e8dc</x:v>
      </x:c>
      <x:c r="B117" s="6" t="str">
        <x:v>xhs_6aca2fd1000000001a025c97</x:v>
      </x:c>
      <x:c r="C117" s="6" t="str">
        <x:v>Xiaohongshu</x:v>
      </x:c>
      <x:c r="D117" s="6" t="str">
        <x:v>xhs_U_0c2334cc6dd9086b</x:v>
      </x:c>
      <x:c r="E117" s="6" t="str">
        <x:v>太好看了叭</x:v>
      </x:c>
      <x:c r="F117" s="6" t="d">
        <x:v>2026-10-15T11:28:38.000Z</x:v>
      </x:c>
      <x:c r="G117" s="6" t="d">
        <x:v>2026-10-15T11:28:38.000Z</x:v>
      </x:c>
      <x:c r="H117" s="6" t="n">
        <x:v>10</x:v>
      </x:c>
      <x:c r="I117" s="6" t="str">
        <x:v>Code: upstream library adapter; not a browser transcription</x:v>
      </x:c>
      <x:c r="J117" s="6" t="str">
        <x:v>RESEARCH_WORKSPACE/ResearchTools/SaSa_Comment_Collection/data/xhs_research/comments.jsonl</x:v>
      </x:c>
      <x:c r="K117" s="6" t="str">
        <x:v>https://www.xiaohongshu.com/explore/6aca2fd1000000001a025c97</x:v>
      </x:c>
      <x:c r="L117" s="6" t="str">
        <x:v>2026-10-19 to 2026-10-20 Hong Kong time</x:v>
      </x:c>
      <x:c r="M117" s="6" t="str">
        <x:v>2026_extension</x:v>
      </x:c>
    </x:row>
    <x:row r="118" ht="38" customHeight="1">
      <x:c r="A118" s="6" t="str">
        <x:v>xhs_6ac46b190000000008026aae</x:v>
      </x:c>
      <x:c r="B118" s="6" t="str">
        <x:v>xhs_6ac39d3b000000000d0281d0</x:v>
      </x:c>
      <x:c r="C118" s="6" t="str">
        <x:v>Xiaohongshu</x:v>
      </x:c>
      <x:c r="D118" s="6" t="str">
        <x:v>xhs_U_f51da708e1992e07</x:v>
      </x:c>
      <x:c r="E118" s="6" t="str">
        <x:v>好厉害老大，请问想做类似斩首的效果有没有教程呢</x:v>
      </x:c>
      <x:c r="F118" s="6" t="d">
        <x:v>2026-10-06T03:29:29.000Z</x:v>
      </x:c>
      <x:c r="G118" s="6" t="d">
        <x:v>2026-10-06T03:29:29.000Z</x:v>
      </x:c>
      <x:c r="H118" s="6" t="n">
        <x:v>11</x:v>
      </x:c>
      <x:c r="I118" s="6" t="str">
        <x:v>Code: upstream library adapter; not a browser transcription</x:v>
      </x:c>
      <x:c r="J118" s="6" t="str">
        <x:v>RESEARCH_WORKSPACE/ResearchTools/SaSa_Comment_Collection/data/xhs_research/comments.jsonl</x:v>
      </x:c>
      <x:c r="K118" s="6" t="str">
        <x:v>https://www.xiaohongshu.com/explore/6ac39d3b000000000d0281d0</x:v>
      </x:c>
      <x:c r="L118" s="6" t="str">
        <x:v>2026-10-19 to 2026-10-20 Hong Kong time</x:v>
      </x:c>
      <x:c r="M118" s="6" t="str">
        <x:v>2026_extension</x:v>
      </x:c>
    </x:row>
    <x:row r="119" ht="38" customHeight="1">
      <x:c r="A119" s="6" t="str">
        <x:v>xhs_6acee8890000000007012c23</x:v>
      </x:c>
      <x:c r="B119" s="6" t="str">
        <x:v>xhs_6ac39d3b000000000d0281d0</x:v>
      </x:c>
      <x:c r="C119" s="6" t="str">
        <x:v>Xiaohongshu</x:v>
      </x:c>
      <x:c r="D119" s="6" t="str">
        <x:v>xhs_U_f711121eb4cc9973</x:v>
      </x:c>
      <x:c r="E119" s="6" t="str">
        <x:v>老大！[飞吻R]卸掉这个妆怎么卸呀？直接撕下来吗，会不会很疼啊🥺</x:v>
      </x:c>
      <x:c r="F119" s="6" t="d">
        <x:v>2026-10-14T02:27:21.000Z</x:v>
      </x:c>
      <x:c r="G119" s="6" t="d">
        <x:v>2026-10-14T02:27:21.000Z</x:v>
      </x:c>
      <x:c r="H119" s="6" t="n">
        <x:v>12</x:v>
      </x:c>
      <x:c r="I119" s="6" t="str">
        <x:v>Code: upstream library adapter; not a browser transcription</x:v>
      </x:c>
      <x:c r="J119" s="6" t="str">
        <x:v>RESEARCH_WORKSPACE/ResearchTools/SaSa_Comment_Collection/data/xhs_research/comments.jsonl</x:v>
      </x:c>
      <x:c r="K119" s="6" t="str">
        <x:v>https://www.xiaohongshu.com/explore/6ac39d3b000000000d0281d0</x:v>
      </x:c>
      <x:c r="L119" s="6" t="str">
        <x:v>2026-10-19 to 2026-10-20 Hong Kong time</x:v>
      </x:c>
      <x:c r="M119" s="6" t="str">
        <x:v>2026_extension</x:v>
      </x:c>
    </x:row>
    <x:row r="120" ht="38" customHeight="1">
      <x:c r="A120" s="6" t="str">
        <x:v>xhs_6ac531b1000000000801d5ab</x:v>
      </x:c>
      <x:c r="B120" s="6" t="str">
        <x:v>xhs_6ac39d3b000000000d0281d0</x:v>
      </x:c>
      <x:c r="C120" s="6" t="str">
        <x:v>Xiaohongshu</x:v>
      </x:c>
      <x:c r="D120" s="6" t="str">
        <x:v>xhs_U_da4e121f4057e269</x:v>
      </x:c>
      <x:c r="E120" s="6" t="str">
        <x:v>老师用的什么液体乳胶啊</x:v>
      </x:c>
      <x:c r="F120" s="6" t="d">
        <x:v>2026-10-06T17:36:49.000Z</x:v>
      </x:c>
      <x:c r="G120" s="6" t="d">
        <x:v>2026-10-06T17:36:49.000Z</x:v>
      </x:c>
      <x:c r="H120" s="6" t="n">
        <x:v>13</x:v>
      </x:c>
      <x:c r="I120" s="6" t="str">
        <x:v>Code: upstream library adapter; not a browser transcription</x:v>
      </x:c>
      <x:c r="J120" s="6" t="str">
        <x:v>RESEARCH_WORKSPACE/ResearchTools/SaSa_Comment_Collection/data/xhs_research/comments.jsonl</x:v>
      </x:c>
      <x:c r="K120" s="6" t="str">
        <x:v>https://www.xiaohongshu.com/explore/6ac39d3b000000000d0281d0</x:v>
      </x:c>
      <x:c r="L120" s="6" t="str">
        <x:v>2026-10-19 to 2026-10-20 Hong Kong time</x:v>
      </x:c>
      <x:c r="M120" s="6" t="str">
        <x:v>2026_extension</x:v>
      </x:c>
    </x:row>
    <x:row r="121" ht="38" customHeight="1">
      <x:c r="A121" s="6" t="str">
        <x:v>xhs_6acb930b000000000b002669</x:v>
      </x:c>
      <x:c r="B121" s="6" t="str">
        <x:v>xhs_6ac39d3b000000000d0281d0</x:v>
      </x:c>
      <x:c r="C121" s="6" t="str">
        <x:v>Xiaohongshu</x:v>
      </x:c>
      <x:c r="D121" s="6" t="str">
        <x:v>xhs_U_bc43a589647300b7</x:v>
      </x:c>
      <x:c r="E121" s="6" t="str">
        <x:v>太强了吧</x:v>
      </x:c>
      <x:c r="F121" s="6" t="d">
        <x:v>2026-10-11T13:45:48.000Z</x:v>
      </x:c>
      <x:c r="G121" s="6" t="d">
        <x:v>2026-10-11T13:45:48.000Z</x:v>
      </x:c>
      <x:c r="H121" s="6" t="n">
        <x:v>14</x:v>
      </x:c>
      <x:c r="I121" s="6" t="str">
        <x:v>Code: upstream library adapter; not a browser transcription</x:v>
      </x:c>
      <x:c r="J121" s="6" t="str">
        <x:v>RESEARCH_WORKSPACE/ResearchTools/SaSa_Comment_Collection/data/xhs_research/comments.jsonl</x:v>
      </x:c>
      <x:c r="K121" s="6" t="str">
        <x:v>https://www.xiaohongshu.com/explore/6ac39d3b000000000d0281d0</x:v>
      </x:c>
      <x:c r="L121" s="6" t="str">
        <x:v>2026-10-19 to 2026-10-20 Hong Kong time</x:v>
      </x:c>
      <x:c r="M121" s="6" t="str">
        <x:v>2026_extension</x:v>
      </x:c>
    </x:row>
    <x:row r="122" ht="38" customHeight="1">
      <x:c r="A122" s="6" t="str">
        <x:v>xhs_6ace1ccb000000000800021f</x:v>
      </x:c>
      <x:c r="B122" s="6" t="str">
        <x:v>xhs_6ac39d3b000000000d0281d0</x:v>
      </x:c>
      <x:c r="C122" s="6" t="str">
        <x:v>Xiaohongshu</x:v>
      </x:c>
      <x:c r="D122" s="6" t="str">
        <x:v>xhs_U_1f5ea913319fbd5e</x:v>
      </x:c>
      <x:c r="E122" s="6" t="str">
        <x:v>感谢老师分享</x:v>
      </x:c>
      <x:c r="F122" s="6" t="d">
        <x:v>2026-10-13T11:58:03.000Z</x:v>
      </x:c>
      <x:c r="G122" s="6" t="d">
        <x:v>2026-10-13T11:58:03.000Z</x:v>
      </x:c>
      <x:c r="H122" s="6" t="n">
        <x:v>15</x:v>
      </x:c>
      <x:c r="I122" s="6" t="str">
        <x:v>Code: upstream library adapter; not a browser transcription</x:v>
      </x:c>
      <x:c r="J122" s="6" t="str">
        <x:v>RESEARCH_WORKSPACE/ResearchTools/SaSa_Comment_Collection/data/xhs_research/comments.jsonl</x:v>
      </x:c>
      <x:c r="K122" s="6" t="str">
        <x:v>https://www.xiaohongshu.com/explore/6ac39d3b000000000d0281d0</x:v>
      </x:c>
      <x:c r="L122" s="6" t="str">
        <x:v>2026-10-19 to 2026-10-20 Hong Kong time</x:v>
      </x:c>
      <x:c r="M122" s="6" t="str">
        <x:v>2026_extension</x:v>
      </x:c>
    </x:row>
    <x:row r="123" ht="38" customHeight="1">
      <x:c r="A123" s="6" t="str">
        <x:v>xhs_6ac443430000000011036cf3</x:v>
      </x:c>
      <x:c r="B123" s="6" t="str">
        <x:v>xhs_6ac39d3b000000000d0281d0</x:v>
      </x:c>
      <x:c r="C123" s="6" t="str">
        <x:v>Xiaohongshu</x:v>
      </x:c>
      <x:c r="D123" s="6" t="str">
        <x:v>xhs_U_3199aa68ebb22f69</x:v>
      </x:c>
      <x:c r="E123" s="6" t="str">
        <x:v>太牛了，不打钉子那里已经是断手的感觉了，好牛！</x:v>
      </x:c>
      <x:c r="F123" s="6" t="d">
        <x:v>2026-10-06T00:39:31.000Z</x:v>
      </x:c>
      <x:c r="G123" s="6" t="d">
        <x:v>2026-10-06T00:39:31.000Z</x:v>
      </x:c>
      <x:c r="H123" s="6" t="n">
        <x:v>16</x:v>
      </x:c>
      <x:c r="I123" s="6" t="str">
        <x:v>Code: upstream library adapter; not a browser transcription</x:v>
      </x:c>
      <x:c r="J123" s="6" t="str">
        <x:v>RESEARCH_WORKSPACE/ResearchTools/SaSa_Comment_Collection/data/xhs_research/comments.jsonl</x:v>
      </x:c>
      <x:c r="K123" s="6" t="str">
        <x:v>https://www.xiaohongshu.com/explore/6ac39d3b000000000d0281d0</x:v>
      </x:c>
      <x:c r="L123" s="6" t="str">
        <x:v>2026-10-19 to 2026-10-20 Hong Kong time</x:v>
      </x:c>
      <x:c r="M123" s="6" t="str">
        <x:v>2026_extension</x:v>
      </x:c>
    </x:row>
    <x:row r="124" ht="38" customHeight="1">
      <x:c r="A124" s="6" t="str">
        <x:v>xhs_6ac4949e00000000110327e2</x:v>
      </x:c>
      <x:c r="B124" s="6" t="str">
        <x:v>xhs_6ac39d3b000000000d0281d0</x:v>
      </x:c>
      <x:c r="C124" s="6" t="str">
        <x:v>Xiaohongshu</x:v>
      </x:c>
      <x:c r="D124" s="6" t="str">
        <x:v>xhs_U_1b0d9a5e091fefd0</x:v>
      </x:c>
      <x:c r="E124" s="6" t="str">
        <x:v>太强了老师！[棒R][棒R]效果好逼真！</x:v>
      </x:c>
      <x:c r="F124" s="6" t="d">
        <x:v>2026-10-06T06:26:39.000Z</x:v>
      </x:c>
      <x:c r="G124" s="6" t="d">
        <x:v>2026-10-06T06:26:39.000Z</x:v>
      </x:c>
      <x:c r="H124" s="6" t="n">
        <x:v>17</x:v>
      </x:c>
      <x:c r="I124" s="6" t="str">
        <x:v>Code: upstream library adapter; not a browser transcription</x:v>
      </x:c>
      <x:c r="J124" s="6" t="str">
        <x:v>RESEARCH_WORKSPACE/ResearchTools/SaSa_Comment_Collection/data/xhs_research/comments.jsonl</x:v>
      </x:c>
      <x:c r="K124" s="6" t="str">
        <x:v>https://www.xiaohongshu.com/explore/6ac39d3b000000000d0281d0</x:v>
      </x:c>
      <x:c r="L124" s="6" t="str">
        <x:v>2026-10-19 to 2026-10-20 Hong Kong time</x:v>
      </x:c>
      <x:c r="M124" s="6" t="str">
        <x:v>2026_extension</x:v>
      </x:c>
    </x:row>
    <x:row r="125" ht="38" customHeight="1">
      <x:c r="A125" s="6" t="str">
        <x:v>xhs_6ac473ae000000000303274b</x:v>
      </x:c>
      <x:c r="B125" s="6" t="str">
        <x:v>xhs_6ac39d3b000000000d0281d0</x:v>
      </x:c>
      <x:c r="C125" s="6" t="str">
        <x:v>Xiaohongshu</x:v>
      </x:c>
      <x:c r="D125" s="6" t="str">
        <x:v>xhs_U_4f97822be96fab72</x:v>
      </x:c>
      <x:c r="E125" s="6" t="str">
        <x:v>太牛了感谢老师分享！</x:v>
      </x:c>
      <x:c r="F125" s="6" t="d">
        <x:v>2026-10-06T04:06:07.000Z</x:v>
      </x:c>
      <x:c r="G125" s="6" t="d">
        <x:v>2026-10-06T04:06:07.000Z</x:v>
      </x:c>
      <x:c r="H125" s="6" t="n">
        <x:v>18</x:v>
      </x:c>
      <x:c r="I125" s="6" t="str">
        <x:v>Code: upstream library adapter; not a browser transcription</x:v>
      </x:c>
      <x:c r="J125" s="6" t="str">
        <x:v>RESEARCH_WORKSPACE/ResearchTools/SaSa_Comment_Collection/data/xhs_research/comments.jsonl</x:v>
      </x:c>
      <x:c r="K125" s="6" t="str">
        <x:v>https://www.xiaohongshu.com/explore/6ac39d3b000000000d0281d0</x:v>
      </x:c>
      <x:c r="L125" s="6" t="str">
        <x:v>2026-10-19 to 2026-10-20 Hong Kong time</x:v>
      </x:c>
      <x:c r="M125" s="6" t="str">
        <x:v>2026_extension</x:v>
      </x:c>
    </x:row>
    <x:row r="126" ht="38" customHeight="1">
      <x:c r="A126" s="6" t="str">
        <x:v>xhs_6ac531e80000000007029627</x:v>
      </x:c>
      <x:c r="B126" s="6" t="str">
        <x:v>xhs_6ac39d3b000000000d0281d0</x:v>
      </x:c>
      <x:c r="C126" s="6" t="str">
        <x:v>Xiaohongshu</x:v>
      </x:c>
      <x:c r="D126" s="6" t="str">
        <x:v>xhs_U_da4e121f4057e269</x:v>
      </x:c>
      <x:c r="E126" s="6" t="str">
        <x:v>老师用的什么液体乳胶啊</x:v>
      </x:c>
      <x:c r="F126" s="6" t="d">
        <x:v>2026-10-06T17:37:44.000Z</x:v>
      </x:c>
      <x:c r="G126" s="6" t="d">
        <x:v>2026-10-06T17:37:44.000Z</x:v>
      </x:c>
      <x:c r="H126" s="6" t="n">
        <x:v>19</x:v>
      </x:c>
      <x:c r="I126" s="6" t="str">
        <x:v>Code: upstream library adapter; not a browser transcription</x:v>
      </x:c>
      <x:c r="J126" s="6" t="str">
        <x:v>RESEARCH_WORKSPACE/ResearchTools/SaSa_Comment_Collection/data/xhs_research/comments.jsonl</x:v>
      </x:c>
      <x:c r="K126" s="6" t="str">
        <x:v>https://www.xiaohongshu.com/explore/6ac39d3b000000000d0281d0</x:v>
      </x:c>
      <x:c r="L126" s="6" t="str">
        <x:v>2026-10-19 to 2026-10-20 Hong Kong time</x:v>
      </x:c>
      <x:c r="M126" s="6" t="str">
        <x:v>2026_extension</x:v>
      </x:c>
    </x:row>
    <x:row r="127" ht="38" customHeight="1">
      <x:c r="A127" s="6" t="str">
        <x:v>xhs_6ac4a348000000000d0259eb</x:v>
      </x:c>
      <x:c r="B127" s="6" t="str">
        <x:v>xhs_6ac39d3b000000000d0281d0</x:v>
      </x:c>
      <x:c r="C127" s="6" t="str">
        <x:v>Xiaohongshu</x:v>
      </x:c>
      <x:c r="D127" s="6" t="str">
        <x:v>xhs_U_23e77adb26062570</x:v>
      </x:c>
      <x:c r="E127" s="6" t="str">
        <x:v>我的妈呀太强了。。幻痛啊。。</x:v>
      </x:c>
      <x:c r="F127" s="6" t="d">
        <x:v>2026-10-06T07:29:13.000Z</x:v>
      </x:c>
      <x:c r="G127" s="6" t="d">
        <x:v>2026-10-06T07:29:13.000Z</x:v>
      </x:c>
      <x:c r="H127" s="6" t="n">
        <x:v>20</x:v>
      </x:c>
      <x:c r="I127" s="6" t="str">
        <x:v>Code: upstream library adapter; not a browser transcription</x:v>
      </x:c>
      <x:c r="J127" s="6" t="str">
        <x:v>RESEARCH_WORKSPACE/ResearchTools/SaSa_Comment_Collection/data/xhs_research/comments.jsonl</x:v>
      </x:c>
      <x:c r="K127" s="6" t="str">
        <x:v>https://www.xiaohongshu.com/explore/6ac39d3b000000000d0281d0</x:v>
      </x:c>
      <x:c r="L127" s="6" t="str">
        <x:v>2026-10-19 to 2026-10-20 Hong Kong time</x:v>
      </x:c>
      <x:c r="M127" s="6" t="str">
        <x:v>2026_extension</x:v>
      </x:c>
    </x:row>
    <x:row r="128" ht="38" customHeight="1">
      <x:c r="A128" s="6" t="str">
        <x:v>xhs_6ac44d45000000001103edeb</x:v>
      </x:c>
      <x:c r="B128" s="6" t="str">
        <x:v>xhs_6ac39d3b000000000d0281d0</x:v>
      </x:c>
      <x:c r="C128" s="6" t="str">
        <x:v>Xiaohongshu</x:v>
      </x:c>
      <x:c r="D128" s="6" t="str">
        <x:v>xhs_U_ccee01a830b61700</x:v>
      </x:c>
      <x:c r="E128" s="6" t="str">
        <x:v>真的被吓到了，太强了</x:v>
      </x:c>
      <x:c r="F128" s="6" t="d">
        <x:v>2026-10-06T01:22:13.000Z</x:v>
      </x:c>
      <x:c r="G128" s="6" t="d">
        <x:v>2026-10-06T01:22:13.000Z</x:v>
      </x:c>
      <x:c r="H128" s="6" t="n">
        <x:v>21</x:v>
      </x:c>
      <x:c r="I128" s="6" t="str">
        <x:v>Code: upstream library adapter; not a browser transcription</x:v>
      </x:c>
      <x:c r="J128" s="6" t="str">
        <x:v>RESEARCH_WORKSPACE/ResearchTools/SaSa_Comment_Collection/data/xhs_research/comments.jsonl</x:v>
      </x:c>
      <x:c r="K128" s="6" t="str">
        <x:v>https://www.xiaohongshu.com/explore/6ac39d3b000000000d0281d0</x:v>
      </x:c>
      <x:c r="L128" s="6" t="str">
        <x:v>2026-10-19 to 2026-10-20 Hong Kong time</x:v>
      </x:c>
      <x:c r="M128" s="6" t="str">
        <x:v>2026_extension</x:v>
      </x:c>
    </x:row>
    <x:row r="129" ht="38" customHeight="1">
      <x:c r="A129" s="6" t="str">
        <x:v>xhs_6ac4f92800000000080320d2</x:v>
      </x:c>
      <x:c r="B129" s="6" t="str">
        <x:v>xhs_6ac39d3b000000000d0281d0</x:v>
      </x:c>
      <x:c r="C129" s="6" t="str">
        <x:v>Xiaohongshu</x:v>
      </x:c>
      <x:c r="D129" s="6" t="str">
        <x:v>xhs_U_073be70e876c85ef</x:v>
      </x:c>
      <x:c r="E129" s="6" t="str">
        <x:v>首页刷到就觉得是伊森结果真是啊啊啊</x:v>
      </x:c>
      <x:c r="F129" s="6" t="d">
        <x:v>2026-10-06T13:35:36.000Z</x:v>
      </x:c>
      <x:c r="G129" s="6" t="d">
        <x:v>2026-10-06T13:35:36.000Z</x:v>
      </x:c>
      <x:c r="H129" s="6" t="n">
        <x:v>22</x:v>
      </x:c>
      <x:c r="I129" s="6" t="str">
        <x:v>Code: upstream library adapter; not a browser transcription</x:v>
      </x:c>
      <x:c r="J129" s="6" t="str">
        <x:v>RESEARCH_WORKSPACE/ResearchTools/SaSa_Comment_Collection/data/xhs_research/comments.jsonl</x:v>
      </x:c>
      <x:c r="K129" s="6" t="str">
        <x:v>https://www.xiaohongshu.com/explore/6ac39d3b000000000d0281d0</x:v>
      </x:c>
      <x:c r="L129" s="6" t="str">
        <x:v>2026-10-19 to 2026-10-20 Hong Kong time</x:v>
      </x:c>
      <x:c r="M129" s="6" t="str">
        <x:v>2026_extension</x:v>
      </x:c>
    </x:row>
    <x:row r="130" ht="38" customHeight="1">
      <x:c r="A130" s="6" t="str">
        <x:v>xhs_6ac747a3000000000801f9f7</x:v>
      </x:c>
      <x:c r="B130" s="6" t="str">
        <x:v>xhs_6ac39d3b000000000d0281d0</x:v>
      </x:c>
      <x:c r="C130" s="6" t="str">
        <x:v>Xiaohongshu</x:v>
      </x:c>
      <x:c r="D130" s="6" t="str">
        <x:v>xhs_U_e5ac8987360a754a</x:v>
      </x:c>
      <x:c r="E130" s="6" t="str">
        <x:v>看得我呲牙咧嘴的[捂脸R][捂脸R]技术真好，幻痛了</x:v>
      </x:c>
      <x:c r="F130" s="6" t="d">
        <x:v>2026-10-08T07:35:00.000Z</x:v>
      </x:c>
      <x:c r="G130" s="6" t="d">
        <x:v>2026-10-08T07:35:00.000Z</x:v>
      </x:c>
      <x:c r="H130" s="6" t="n">
        <x:v>23</x:v>
      </x:c>
      <x:c r="I130" s="6" t="str">
        <x:v>Code: upstream library adapter; not a browser transcription</x:v>
      </x:c>
      <x:c r="J130" s="6" t="str">
        <x:v>RESEARCH_WORKSPACE/ResearchTools/SaSa_Comment_Collection/data/xhs_research/comments.jsonl</x:v>
      </x:c>
      <x:c r="K130" s="6" t="str">
        <x:v>https://www.xiaohongshu.com/explore/6ac39d3b000000000d0281d0</x:v>
      </x:c>
      <x:c r="L130" s="6" t="str">
        <x:v>2026-10-19 to 2026-10-20 Hong Kong time</x:v>
      </x:c>
      <x:c r="M130" s="6" t="str">
        <x:v>2026_extension</x:v>
      </x:c>
    </x:row>
    <x:row r="131" ht="38" customHeight="1">
      <x:c r="A131" s="6" t="str">
        <x:v>xhs_6ac47f7b0000000007034fea</x:v>
      </x:c>
      <x:c r="B131" s="6" t="str">
        <x:v>xhs_6ac39d3b000000000d0281d0</x:v>
      </x:c>
      <x:c r="C131" s="6" t="str">
        <x:v>Xiaohongshu</x:v>
      </x:c>
      <x:c r="D131" s="6" t="str">
        <x:v>xhs_U_82d2a7023c4ef2d0</x:v>
      </x:c>
      <x:c r="E131" s="6" t="str">
        <x:v>好牛，在洗手液战神手上好有恐怖的味道[黄金薯R]</x:v>
      </x:c>
      <x:c r="F131" s="6" t="d">
        <x:v>2026-10-06T04:56:28.000Z</x:v>
      </x:c>
      <x:c r="G131" s="6" t="d">
        <x:v>2026-10-06T04:56:28.000Z</x:v>
      </x:c>
      <x:c r="H131" s="6" t="n">
        <x:v>24</x:v>
      </x:c>
      <x:c r="I131" s="6" t="str">
        <x:v>Code: upstream library adapter; not a browser transcription</x:v>
      </x:c>
      <x:c r="J131" s="6" t="str">
        <x:v>RESEARCH_WORKSPACE/ResearchTools/SaSa_Comment_Collection/data/xhs_research/comments.jsonl</x:v>
      </x:c>
      <x:c r="K131" s="6" t="str">
        <x:v>https://www.xiaohongshu.com/explore/6ac39d3b000000000d0281d0</x:v>
      </x:c>
      <x:c r="L131" s="6" t="str">
        <x:v>2026-10-19 to 2026-10-20 Hong Kong time</x:v>
      </x:c>
      <x:c r="M131" s="6" t="str">
        <x:v>2026_extension</x:v>
      </x:c>
    </x:row>
    <x:row r="132" ht="38" customHeight="1">
      <x:c r="A132" s="6" t="str">
        <x:v>xhs_6ac9a2e2000000000703615e</x:v>
      </x:c>
      <x:c r="B132" s="6" t="str">
        <x:v>xhs_6ac39d3b000000000d0281d0</x:v>
      </x:c>
      <x:c r="C132" s="6" t="str">
        <x:v>Xiaohongshu</x:v>
      </x:c>
      <x:c r="D132" s="6" t="str">
        <x:v>xhs_U_3a5d11263b0c45ff</x:v>
      </x:c>
      <x:c r="E132" s="6" t="str">
        <x:v>想给我女儿画脖子上，我和她都好喜欢这些诡异的东西[笑哭R]</x:v>
      </x:c>
      <x:c r="F132" s="6" t="d">
        <x:v>2026-10-10T02:28:50.000Z</x:v>
      </x:c>
      <x:c r="G132" s="6" t="d">
        <x:v>2026-10-10T02:28:50.000Z</x:v>
      </x:c>
      <x:c r="H132" s="6" t="n">
        <x:v>25</x:v>
      </x:c>
      <x:c r="I132" s="6" t="str">
        <x:v>Code: upstream library adapter; not a browser transcription</x:v>
      </x:c>
      <x:c r="J132" s="6" t="str">
        <x:v>RESEARCH_WORKSPACE/ResearchTools/SaSa_Comment_Collection/data/xhs_research/comments.jsonl</x:v>
      </x:c>
      <x:c r="K132" s="6" t="str">
        <x:v>https://www.xiaohongshu.com/explore/6ac39d3b000000000d0281d0</x:v>
      </x:c>
      <x:c r="L132" s="6" t="str">
        <x:v>2026-10-19 to 2026-10-20 Hong Kong time</x:v>
      </x:c>
      <x:c r="M132" s="6" t="str">
        <x:v>2026_extension</x:v>
      </x:c>
    </x:row>
    <x:row r="133" ht="38" customHeight="1">
      <x:c r="A133" s="6" t="str">
        <x:v>xhs_6ad5cb73000000001400209c</x:v>
      </x:c>
      <x:c r="B133" s="6" t="str">
        <x:v>xhs_6ad34887000000001801bdc1</x:v>
      </x:c>
      <x:c r="C133" s="6" t="str">
        <x:v>Xiaohongshu</x:v>
      </x:c>
      <x:c r="D133" s="6" t="str">
        <x:v>xhs_U_f0bb0d7229842b93</x:v>
      </x:c>
      <x:c r="E133" s="6" t="str">
        <x:v>美女第二盘偏黑色的腮红 有链接吗</x:v>
      </x:c>
      <x:c r="F133" s="6" t="d">
        <x:v>2026-10-19T07:49:07.000Z</x:v>
      </x:c>
      <x:c r="G133" s="6" t="d">
        <x:v>2026-10-19T07:49:07.000Z</x:v>
      </x:c>
      <x:c r="H133" s="6" t="n">
        <x:v>26</x:v>
      </x:c>
      <x:c r="I133" s="6" t="str">
        <x:v>Code: upstream library adapter; not a browser transcription</x:v>
      </x:c>
      <x:c r="J133" s="6" t="str">
        <x:v>RESEARCH_WORKSPACE/ResearchTools/SaSa_Comment_Collection/data/xhs_research/comments.jsonl</x:v>
      </x:c>
      <x:c r="K133" s="6" t="str">
        <x:v>https://www.xiaohongshu.com/explore/6ad34887000000001801bdc1</x:v>
      </x:c>
      <x:c r="L133" s="6" t="str">
        <x:v>2026-10-19 to 2026-10-20 Hong Kong time</x:v>
      </x:c>
      <x:c r="M133" s="6" t="str">
        <x:v>2026_extension</x:v>
      </x:c>
    </x:row>
    <x:row r="134" ht="38" customHeight="1">
      <x:c r="A134" s="6" t="str">
        <x:v>xhs_6ad4b3910000000008012cd7</x:v>
      </x:c>
      <x:c r="B134" s="6" t="str">
        <x:v>xhs_6ad34887000000001801bdc1</x:v>
      </x:c>
      <x:c r="C134" s="6" t="str">
        <x:v>Xiaohongshu</x:v>
      </x:c>
      <x:c r="D134" s="6" t="str">
        <x:v>xhs_U_6ea191c4ce86dee4</x:v>
      </x:c>
      <x:c r="E134" s="6" t="str">
        <x:v>学到了</x:v>
      </x:c>
      <x:c r="F134" s="6" t="d">
        <x:v>2026-10-18T11:54:57.000Z</x:v>
      </x:c>
      <x:c r="G134" s="6" t="d">
        <x:v>2026-10-18T11:54:57.000Z</x:v>
      </x:c>
      <x:c r="H134" s="6" t="n">
        <x:v>27</x:v>
      </x:c>
      <x:c r="I134" s="6" t="str">
        <x:v>Code: upstream library adapter; not a browser transcription</x:v>
      </x:c>
      <x:c r="J134" s="6" t="str">
        <x:v>RESEARCH_WORKSPACE/ResearchTools/SaSa_Comment_Collection/data/xhs_research/comments.jsonl</x:v>
      </x:c>
      <x:c r="K134" s="6" t="str">
        <x:v>https://www.xiaohongshu.com/explore/6ad34887000000001801bdc1</x:v>
      </x:c>
      <x:c r="L134" s="6" t="str">
        <x:v>2026-10-19 to 2026-10-20 Hong Kong time</x:v>
      </x:c>
      <x:c r="M134" s="6" t="str">
        <x:v>2026_extension</x:v>
      </x:c>
    </x:row>
    <x:row r="135" ht="38" customHeight="1">
      <x:c r="A135" s="6" t="str">
        <x:v>xhs_6aba7d2a000000001103db82</x:v>
      </x:c>
      <x:c r="B135" s="6" t="str">
        <x:v>xhs_6aba764c000000001b01c08b</x:v>
      </x:c>
      <x:c r="C135" s="6" t="str">
        <x:v>Xiaohongshu</x:v>
      </x:c>
      <x:c r="D135" s="6" t="str">
        <x:v>xhs_U_d0b1b8f0826728af</x:v>
      </x:c>
      <x:c r="E135" s="6" t="str">
        <x:v>我就说这个眼镜框...怎么这么眼熟</x:v>
      </x:c>
      <x:c r="F135" s="6" t="d">
        <x:v>2026-09-28T14:43:54.000Z</x:v>
      </x:c>
      <x:c r="G135" s="6" t="d">
        <x:v>2026-09-28T14:43:54.000Z</x:v>
      </x:c>
      <x:c r="H135" s="6" t="n">
        <x:v>28</x:v>
      </x:c>
      <x:c r="I135" s="6" t="str">
        <x:v>Code: upstream library adapter; not a browser transcription</x:v>
      </x:c>
      <x:c r="J135" s="6" t="str">
        <x:v>RESEARCH_WORKSPACE/ResearchTools/SaSa_Comment_Collection/data/xhs_research/comments.jsonl</x:v>
      </x:c>
      <x:c r="K135" s="6" t="str">
        <x:v>https://www.xiaohongshu.com/explore/6aba764c000000001b01c08b</x:v>
      </x:c>
      <x:c r="L135" s="6" t="str">
        <x:v>2026-10-19 to 2026-10-20 Hong Kong time</x:v>
      </x:c>
      <x:c r="M135" s="6" t="str">
        <x:v>2026_extension</x:v>
      </x:c>
    </x:row>
    <x:row r="136" ht="38" customHeight="1">
      <x:c r="A136" s="6" t="str">
        <x:v>xhs_6aba77440000000006013137</x:v>
      </x:c>
      <x:c r="B136" s="6" t="str">
        <x:v>xhs_6aba764c000000001b01c08b</x:v>
      </x:c>
      <x:c r="C136" s="6" t="str">
        <x:v>Xiaohongshu</x:v>
      </x:c>
      <x:c r="D136" s="6" t="str">
        <x:v>xhs_U_6dc3875ed36c973a</x:v>
      </x:c>
      <x:c r="E136" s="6" t="str">
        <x:v>这么高质为何不火[色色R]</x:v>
      </x:c>
      <x:c r="F136" s="6" t="d">
        <x:v>2026-09-28T14:18:46.000Z</x:v>
      </x:c>
      <x:c r="G136" s="6" t="d">
        <x:v>2026-09-28T14:18:46.000Z</x:v>
      </x:c>
      <x:c r="H136" s="6" t="n">
        <x:v>29</x:v>
      </x:c>
      <x:c r="I136" s="6" t="str">
        <x:v>Code: upstream library adapter; not a browser transcription</x:v>
      </x:c>
      <x:c r="J136" s="6" t="str">
        <x:v>RESEARCH_WORKSPACE/ResearchTools/SaSa_Comment_Collection/data/xhs_research/comments.jsonl</x:v>
      </x:c>
      <x:c r="K136" s="6" t="str">
        <x:v>https://www.xiaohongshu.com/explore/6aba764c000000001b01c08b</x:v>
      </x:c>
      <x:c r="L136" s="6" t="str">
        <x:v>2026-10-19 to 2026-10-20 Hong Kong time</x:v>
      </x:c>
      <x:c r="M136" s="6" t="str">
        <x:v>2026_extension</x:v>
      </x:c>
    </x:row>
    <x:row r="137" ht="38" customHeight="1">
      <x:c r="A137" s="6" t="str">
        <x:v>xhs_6abeff79000000000702d467</x:v>
      </x:c>
      <x:c r="B137" s="6" t="str">
        <x:v>xhs_6aba764c000000001b01c08b</x:v>
      </x:c>
      <x:c r="C137" s="6" t="str">
        <x:v>Xiaohongshu</x:v>
      </x:c>
      <x:c r="D137" s="6" t="str">
        <x:v>xhs_U_e225603ce85c4ad8</x:v>
      </x:c>
      <x:c r="E137" s="6" t="str">
        <x:v>我寻思咋亚当自己出妆教了..[回招呼]</x:v>
      </x:c>
      <x:c r="F137" s="6" t="d">
        <x:v>2026-10-02T00:48:57.000Z</x:v>
      </x:c>
      <x:c r="G137" s="6" t="d">
        <x:v>2026-10-02T00:48:57.000Z</x:v>
      </x:c>
      <x:c r="H137" s="6" t="n">
        <x:v>30</x:v>
      </x:c>
      <x:c r="I137" s="6" t="str">
        <x:v>Code: upstream library adapter; not a browser transcription</x:v>
      </x:c>
      <x:c r="J137" s="6" t="str">
        <x:v>RESEARCH_WORKSPACE/ResearchTools/SaSa_Comment_Collection/data/xhs_research/comments.jsonl</x:v>
      </x:c>
      <x:c r="K137" s="6" t="str">
        <x:v>https://www.xiaohongshu.com/explore/6aba764c000000001b01c08b</x:v>
      </x:c>
      <x:c r="L137" s="6" t="str">
        <x:v>2026-10-19 to 2026-10-20 Hong Kong time</x:v>
      </x:c>
      <x:c r="M137" s="6" t="str">
        <x:v>2026_extension</x:v>
      </x:c>
    </x:row>
    <x:row r="138" ht="38" customHeight="1">
      <x:c r="A138" s="6" t="str">
        <x:v>xhs_6aba9a97000000001103f795</x:v>
      </x:c>
      <x:c r="B138" s="6" t="str">
        <x:v>xhs_6aba764c000000001b01c08b</x:v>
      </x:c>
      <x:c r="C138" s="6" t="str">
        <x:v>Xiaohongshu</x:v>
      </x:c>
      <x:c r="D138" s="6" t="str">
        <x:v>xhs_U_6a53ec36226d3521</x:v>
      </x:c>
      <x:c r="E138" s="6" t="str">
        <x:v>粘一下眉毛天黑了</x:v>
      </x:c>
      <x:c r="F138" s="6" t="d">
        <x:v>2026-09-28T16:49:29.000Z</x:v>
      </x:c>
      <x:c r="G138" s="6" t="d">
        <x:v>2026-09-28T16:49:29.000Z</x:v>
      </x:c>
      <x:c r="H138" s="6" t="n">
        <x:v>31</x:v>
      </x:c>
      <x:c r="I138" s="6" t="str">
        <x:v>Code: upstream library adapter; not a browser transcription</x:v>
      </x:c>
      <x:c r="J138" s="6" t="str">
        <x:v>RESEARCH_WORKSPACE/ResearchTools/SaSa_Comment_Collection/data/xhs_research/comments.jsonl</x:v>
      </x:c>
      <x:c r="K138" s="6" t="str">
        <x:v>https://www.xiaohongshu.com/explore/6aba764c000000001b01c08b</x:v>
      </x:c>
      <x:c r="L138" s="6" t="str">
        <x:v>2026-10-19 to 2026-10-20 Hong Kong time</x:v>
      </x:c>
      <x:c r="M138" s="6" t="str">
        <x:v>2026_extension</x:v>
      </x:c>
    </x:row>
    <x:row r="139" ht="38" customHeight="1">
      <x:c r="A139" s="6" t="str">
        <x:v>xhs_6abd0ddf00000000110375d8</x:v>
      </x:c>
      <x:c r="B139" s="6" t="str">
        <x:v>xhs_6aba764c000000001b01c08b</x:v>
      </x:c>
      <x:c r="C139" s="6" t="str">
        <x:v>Xiaohongshu</x:v>
      </x:c>
      <x:c r="D139" s="6" t="str">
        <x:v>xhs_U_5fd452a7ccd0d904</x:v>
      </x:c>
      <x:c r="E139" s="6" t="str">
        <x:v>撕咬空气吗 有点意思</x:v>
      </x:c>
      <x:c r="F139" s="6" t="d">
        <x:v>2026-09-30T13:25:51.000Z</x:v>
      </x:c>
      <x:c r="G139" s="6" t="d">
        <x:v>2026-09-30T13:25:51.000Z</x:v>
      </x:c>
      <x:c r="H139" s="6" t="n">
        <x:v>32</x:v>
      </x:c>
      <x:c r="I139" s="6" t="str">
        <x:v>Code: upstream library adapter; not a browser transcription</x:v>
      </x:c>
      <x:c r="J139" s="6" t="str">
        <x:v>RESEARCH_WORKSPACE/ResearchTools/SaSa_Comment_Collection/data/xhs_research/comments.jsonl</x:v>
      </x:c>
      <x:c r="K139" s="6" t="str">
        <x:v>https://www.xiaohongshu.com/explore/6aba764c000000001b01c08b</x:v>
      </x:c>
      <x:c r="L139" s="6" t="str">
        <x:v>2026-10-19 to 2026-10-20 Hong Kong time</x:v>
      </x:c>
      <x:c r="M139" s="6" t="str">
        <x:v>2026_extension</x:v>
      </x:c>
    </x:row>
    <x:row r="140" ht="38" customHeight="1">
      <x:c r="A140" s="6" t="str">
        <x:v>xhs_6aba7ecf000000000502aaf9</x:v>
      </x:c>
      <x:c r="B140" s="6" t="str">
        <x:v>xhs_6aba764c000000001b01c08b</x:v>
      </x:c>
      <x:c r="C140" s="6" t="str">
        <x:v>Xiaohongshu</x:v>
      </x:c>
      <x:c r="D140" s="6" t="str">
        <x:v>xhs_U_69e0afafec61498a</x:v>
      </x:c>
      <x:c r="E140" s="6" t="str">
        <x:v>好牛</x:v>
      </x:c>
      <x:c r="F140" s="6" t="d">
        <x:v>2026-09-28T14:50:56.000Z</x:v>
      </x:c>
      <x:c r="G140" s="6" t="d">
        <x:v>2026-09-28T14:50:56.000Z</x:v>
      </x:c>
      <x:c r="H140" s="6" t="n">
        <x:v>33</x:v>
      </x:c>
      <x:c r="I140" s="6" t="str">
        <x:v>Code: upstream library adapter; not a browser transcription</x:v>
      </x:c>
      <x:c r="J140" s="6" t="str">
        <x:v>RESEARCH_WORKSPACE/ResearchTools/SaSa_Comment_Collection/data/xhs_research/comments.jsonl</x:v>
      </x:c>
      <x:c r="K140" s="6" t="str">
        <x:v>https://www.xiaohongshu.com/explore/6aba764c000000001b01c08b</x:v>
      </x:c>
      <x:c r="L140" s="6" t="str">
        <x:v>2026-10-19 to 2026-10-20 Hong Kong time</x:v>
      </x:c>
      <x:c r="M140" s="6" t="str">
        <x:v>2026_extension</x:v>
      </x:c>
    </x:row>
    <x:row r="141" ht="38" customHeight="1">
      <x:c r="A141" s="6" t="str">
        <x:v>xhs_6abba51d000000000803704c</x:v>
      </x:c>
      <x:c r="B141" s="6" t="str">
        <x:v>xhs_6aba764c000000001b01c08b</x:v>
      </x:c>
      <x:c r="C141" s="6" t="str">
        <x:v>Xiaohongshu</x:v>
      </x:c>
      <x:c r="D141" s="6" t="str">
        <x:v>xhs_U_a374f9648ed6cde5</x:v>
      </x:c>
      <x:c r="E141" s="6" t="str">
        <x:v>亚当本人来了</x:v>
      </x:c>
      <x:c r="F141" s="6" t="d">
        <x:v>2026-09-29T11:46:38.000Z</x:v>
      </x:c>
      <x:c r="G141" s="6" t="d">
        <x:v>2026-09-29T11:46:38.000Z</x:v>
      </x:c>
      <x:c r="H141" s="6" t="n">
        <x:v>34</x:v>
      </x:c>
      <x:c r="I141" s="6" t="str">
        <x:v>Code: upstream library adapter; not a browser transcription</x:v>
      </x:c>
      <x:c r="J141" s="6" t="str">
        <x:v>RESEARCH_WORKSPACE/ResearchTools/SaSa_Comment_Collection/data/xhs_research/comments.jsonl</x:v>
      </x:c>
      <x:c r="K141" s="6" t="str">
        <x:v>https://www.xiaohongshu.com/explore/6aba764c000000001b01c08b</x:v>
      </x:c>
      <x:c r="L141" s="6" t="str">
        <x:v>2026-10-19 to 2026-10-20 Hong Kong time</x:v>
      </x:c>
      <x:c r="M141" s="6" t="str">
        <x:v>2026_extension</x:v>
      </x:c>
    </x:row>
    <x:row r="142" ht="38" customHeight="1">
      <x:c r="A142" s="6" t="str">
        <x:v>xhs_6aba904b000000001200391d</x:v>
      </x:c>
      <x:c r="B142" s="6" t="str">
        <x:v>xhs_6aba764c000000001b01c08b</x:v>
      </x:c>
      <x:c r="C142" s="6" t="str">
        <x:v>Xiaohongshu</x:v>
      </x:c>
      <x:c r="D142" s="6" t="str">
        <x:v>xhs_U_c6962fc7f805bf64</x:v>
      </x:c>
      <x:c r="E142" s="6" t="str">
        <x:v>看完了，手在哪里领</x:v>
      </x:c>
      <x:c r="F142" s="6" t="d">
        <x:v>2026-09-28T16:05:32.000Z</x:v>
      </x:c>
      <x:c r="G142" s="6" t="d">
        <x:v>2026-09-28T16:05:32.000Z</x:v>
      </x:c>
      <x:c r="H142" s="6" t="n">
        <x:v>35</x:v>
      </x:c>
      <x:c r="I142" s="6" t="str">
        <x:v>Code: upstream library adapter; not a browser transcription</x:v>
      </x:c>
      <x:c r="J142" s="6" t="str">
        <x:v>RESEARCH_WORKSPACE/ResearchTools/SaSa_Comment_Collection/data/xhs_research/comments.jsonl</x:v>
      </x:c>
      <x:c r="K142" s="6" t="str">
        <x:v>https://www.xiaohongshu.com/explore/6aba764c000000001b01c08b</x:v>
      </x:c>
      <x:c r="L142" s="6" t="str">
        <x:v>2026-10-19 to 2026-10-20 Hong Kong time</x:v>
      </x:c>
      <x:c r="M142" s="6" t="str">
        <x:v>2026_extension</x:v>
      </x:c>
    </x:row>
    <x:row r="143" ht="38" customHeight="1">
      <x:c r="A143" s="6" t="str">
        <x:v>xhs_6aba8fec000000001103c9b4</x:v>
      </x:c>
      <x:c r="B143" s="6" t="str">
        <x:v>xhs_6aba764c000000001b01c08b</x:v>
      </x:c>
      <x:c r="C143" s="6" t="str">
        <x:v>Xiaohongshu</x:v>
      </x:c>
      <x:c r="D143" s="6" t="str">
        <x:v>xhs_U_c6962fc7f805bf64</x:v>
      </x:c>
      <x:c r="E143" s="6" t="str">
        <x:v>又来了</x:v>
      </x:c>
      <x:c r="F143" s="6" t="d">
        <x:v>2026-09-28T16:03:57.000Z</x:v>
      </x:c>
      <x:c r="G143" s="6" t="d">
        <x:v>2026-09-28T16:03:57.000Z</x:v>
      </x:c>
      <x:c r="H143" s="6" t="n">
        <x:v>36</x:v>
      </x:c>
      <x:c r="I143" s="6" t="str">
        <x:v>Code: upstream library adapter; not a browser transcription</x:v>
      </x:c>
      <x:c r="J143" s="6" t="str">
        <x:v>RESEARCH_WORKSPACE/ResearchTools/SaSa_Comment_Collection/data/xhs_research/comments.jsonl</x:v>
      </x:c>
      <x:c r="K143" s="6" t="str">
        <x:v>https://www.xiaohongshu.com/explore/6aba764c000000001b01c08b</x:v>
      </x:c>
      <x:c r="L143" s="6" t="str">
        <x:v>2026-10-19 to 2026-10-20 Hong Kong time</x:v>
      </x:c>
      <x:c r="M143" s="6" t="str">
        <x:v>2026_extension</x:v>
      </x:c>
    </x:row>
    <x:row r="144" ht="38" customHeight="1">
      <x:c r="A144" s="6" t="str">
        <x:v>xhs_6abdf627000000001001f680</x:v>
      </x:c>
      <x:c r="B144" s="6" t="str">
        <x:v>xhs_6aba764c000000001b01c08b</x:v>
      </x:c>
      <x:c r="C144" s="6" t="str">
        <x:v>Xiaohongshu</x:v>
      </x:c>
      <x:c r="D144" s="6" t="str">
        <x:v>xhs_U_919249008c9eafa0</x:v>
      </x:c>
      <x:c r="E144" s="6" t="str">
        <x:v>能cos嘛</x:v>
      </x:c>
      <x:c r="F144" s="6" t="d">
        <x:v>2026-10-01T05:56:56.000Z</x:v>
      </x:c>
      <x:c r="G144" s="6" t="d">
        <x:v>2026-10-01T05:56:56.000Z</x:v>
      </x:c>
      <x:c r="H144" s="6" t="n">
        <x:v>37</x:v>
      </x:c>
      <x:c r="I144" s="6" t="str">
        <x:v>Code: upstream library adapter; not a browser transcription</x:v>
      </x:c>
      <x:c r="J144" s="6" t="str">
        <x:v>RESEARCH_WORKSPACE/ResearchTools/SaSa_Comment_Collection/data/xhs_research/comments.jsonl</x:v>
      </x:c>
      <x:c r="K144" s="6" t="str">
        <x:v>https://www.xiaohongshu.com/explore/6aba764c000000001b01c08b</x:v>
      </x:c>
      <x:c r="L144" s="6" t="str">
        <x:v>2026-10-19 to 2026-10-20 Hong Kong time</x:v>
      </x:c>
      <x:c r="M144" s="6" t="str">
        <x:v>2026_extension</x:v>
      </x:c>
    </x:row>
    <x:row r="145" ht="38" customHeight="1">
      <x:c r="A145" s="6" t="str">
        <x:v>xhs_6abb45550000000008037dde</x:v>
      </x:c>
      <x:c r="B145" s="6" t="str">
        <x:v>xhs_6aba764c000000001b01c08b</x:v>
      </x:c>
      <x:c r="C145" s="6" t="str">
        <x:v>Xiaohongshu</x:v>
      </x:c>
      <x:c r="D145" s="6" t="str">
        <x:v>xhs_U_8484cc5a6322d771</x:v>
      </x:c>
      <x:c r="E145" s="6" t="str">
        <x:v>你这个亚当底子很好[doge]</x:v>
      </x:c>
      <x:c r="F145" s="6" t="d">
        <x:v>2026-09-29T04:57:57.000Z</x:v>
      </x:c>
      <x:c r="G145" s="6" t="d">
        <x:v>2026-09-29T04:57:57.000Z</x:v>
      </x:c>
      <x:c r="H145" s="6" t="n">
        <x:v>38</x:v>
      </x:c>
      <x:c r="I145" s="6" t="str">
        <x:v>Code: upstream library adapter; not a browser transcription</x:v>
      </x:c>
      <x:c r="J145" s="6" t="str">
        <x:v>RESEARCH_WORKSPACE/ResearchTools/SaSa_Comment_Collection/data/xhs_research/comments.jsonl</x:v>
      </x:c>
      <x:c r="K145" s="6" t="str">
        <x:v>https://www.xiaohongshu.com/explore/6aba764c000000001b01c08b</x:v>
      </x:c>
      <x:c r="L145" s="6" t="str">
        <x:v>2026-10-19 to 2026-10-20 Hong Kong time</x:v>
      </x:c>
      <x:c r="M145" s="6" t="str">
        <x:v>2026_extension</x:v>
      </x:c>
    </x:row>
    <x:row r="146" ht="38" customHeight="1">
      <x:c r="A146" s="6" t="str">
        <x:v>xhs_6aba77d3000000000803287d</x:v>
      </x:c>
      <x:c r="B146" s="6" t="str">
        <x:v>xhs_6aba764c000000001b01c08b</x:v>
      </x:c>
      <x:c r="C146" s="6" t="str">
        <x:v>Xiaohongshu</x:v>
      </x:c>
      <x:c r="D146" s="6" t="str">
        <x:v>xhs_U_5a02311f44bc0bce</x:v>
      </x:c>
      <x:c r="E146" s="6" t="str">
        <x:v>[扶额R]我去</x:v>
      </x:c>
      <x:c r="F146" s="6" t="d">
        <x:v>2026-09-28T14:21:07.000Z</x:v>
      </x:c>
      <x:c r="G146" s="6" t="d">
        <x:v>2026-09-28T14:21:07.000Z</x:v>
      </x:c>
      <x:c r="H146" s="6" t="n">
        <x:v>39</x:v>
      </x:c>
      <x:c r="I146" s="6" t="str">
        <x:v>Code: upstream library adapter; not a browser transcription</x:v>
      </x:c>
      <x:c r="J146" s="6" t="str">
        <x:v>RESEARCH_WORKSPACE/ResearchTools/SaSa_Comment_Collection/data/xhs_research/comments.jsonl</x:v>
      </x:c>
      <x:c r="K146" s="6" t="str">
        <x:v>https://www.xiaohongshu.com/explore/6aba764c000000001b01c08b</x:v>
      </x:c>
      <x:c r="L146" s="6" t="str">
        <x:v>2026-10-19 to 2026-10-20 Hong Kong time</x:v>
      </x:c>
      <x:c r="M146" s="6" t="str">
        <x:v>2026_extension</x:v>
      </x:c>
    </x:row>
    <x:row r="147" ht="38" customHeight="1">
      <x:c r="A147" s="6" t="str">
        <x:v>xhs_6aba8d240000000012000887</x:v>
      </x:c>
      <x:c r="B147" s="6" t="str">
        <x:v>xhs_6aba764c000000001b01c08b</x:v>
      </x:c>
      <x:c r="C147" s="6" t="str">
        <x:v>Xiaohongshu</x:v>
      </x:c>
      <x:c r="D147" s="6" t="str">
        <x:v>xhs_U_798cbd3d2eabf154</x:v>
      </x:c>
      <x:c r="E147" s="6" t="str">
        <x:v>最像的一集（没有说其他不像的意思</x:v>
      </x:c>
      <x:c r="F147" s="6" t="d">
        <x:v>2026-09-28T15:52:04.000Z</x:v>
      </x:c>
      <x:c r="G147" s="6" t="d">
        <x:v>2026-09-28T15:52:04.000Z</x:v>
      </x:c>
      <x:c r="H147" s="6" t="n">
        <x:v>40</x:v>
      </x:c>
      <x:c r="I147" s="6" t="str">
        <x:v>Code: upstream library adapter; not a browser transcription</x:v>
      </x:c>
      <x:c r="J147" s="6" t="str">
        <x:v>RESEARCH_WORKSPACE/ResearchTools/SaSa_Comment_Collection/data/xhs_research/comments.jsonl</x:v>
      </x:c>
      <x:c r="K147" s="6" t="str">
        <x:v>https://www.xiaohongshu.com/explore/6aba764c000000001b01c08b</x:v>
      </x:c>
      <x:c r="L147" s="6" t="str">
        <x:v>2026-10-19 to 2026-10-20 Hong Kong time</x:v>
      </x:c>
      <x:c r="M147" s="6" t="str">
        <x:v>2026_extension</x:v>
      </x:c>
    </x:row>
    <x:row r="148" ht="38" customHeight="1">
      <x:c r="A148" s="6" t="str">
        <x:v>xhs_6aba77130000000012008293</x:v>
      </x:c>
      <x:c r="B148" s="6" t="str">
        <x:v>xhs_6aba764c000000001b01c08b</x:v>
      </x:c>
      <x:c r="C148" s="6" t="str">
        <x:v>Xiaohongshu</x:v>
      </x:c>
      <x:c r="D148" s="6" t="str">
        <x:v>xhs_U_074e7c27eb61882f</x:v>
      </x:c>
      <x:c r="E148" s="6" t="str">
        <x:v>1</x:v>
      </x:c>
      <x:c r="F148" s="6" t="d">
        <x:v>2026-09-28T14:17:55.000Z</x:v>
      </x:c>
      <x:c r="G148" s="6" t="d">
        <x:v>2026-09-28T14:17:55.000Z</x:v>
      </x:c>
      <x:c r="H148" s="6" t="n">
        <x:v>41</x:v>
      </x:c>
      <x:c r="I148" s="6" t="str">
        <x:v>Code: upstream library adapter; not a browser transcription</x:v>
      </x:c>
      <x:c r="J148" s="6" t="str">
        <x:v>RESEARCH_WORKSPACE/ResearchTools/SaSa_Comment_Collection/data/xhs_research/comments.jsonl</x:v>
      </x:c>
      <x:c r="K148" s="6" t="str">
        <x:v>https://www.xiaohongshu.com/explore/6aba764c000000001b01c08b</x:v>
      </x:c>
      <x:c r="L148" s="6" t="str">
        <x:v>2026-10-19 to 2026-10-20 Hong Kong time</x:v>
      </x:c>
      <x:c r="M148" s="6" t="str">
        <x:v>2026_extension</x:v>
      </x:c>
    </x:row>
    <x:row r="149" ht="38" customHeight="1">
      <x:c r="A149" s="6" t="str">
        <x:v>xhs_6aba776b000000000b00fe16</x:v>
      </x:c>
      <x:c r="B149" s="6" t="str">
        <x:v>xhs_6aba764c000000001b01c08b</x:v>
      </x:c>
      <x:c r="C149" s="6" t="str">
        <x:v>Xiaohongshu</x:v>
      </x:c>
      <x:c r="D149" s="6" t="str">
        <x:v>xhs_U_c2c97d19e3cec70f</x:v>
      </x:c>
      <x:c r="E149" s="6" t="str">
        <x:v>1</x:v>
      </x:c>
      <x:c r="F149" s="6" t="d">
        <x:v>2026-09-28T14:19:23.000Z</x:v>
      </x:c>
      <x:c r="G149" s="6" t="d">
        <x:v>2026-09-28T14:19:23.000Z</x:v>
      </x:c>
      <x:c r="H149" s="6" t="n">
        <x:v>42</x:v>
      </x:c>
      <x:c r="I149" s="6" t="str">
        <x:v>Code: upstream library adapter; not a browser transcription</x:v>
      </x:c>
      <x:c r="J149" s="6" t="str">
        <x:v>RESEARCH_WORKSPACE/ResearchTools/SaSa_Comment_Collection/data/xhs_research/comments.jsonl</x:v>
      </x:c>
      <x:c r="K149" s="6" t="str">
        <x:v>https://www.xiaohongshu.com/explore/6aba764c000000001b01c08b</x:v>
      </x:c>
      <x:c r="L149" s="6" t="str">
        <x:v>2026-10-19 to 2026-10-20 Hong Kong time</x:v>
      </x:c>
      <x:c r="M149" s="6" t="str">
        <x:v>2026_extension</x:v>
      </x:c>
    </x:row>
    <x:row r="150" ht="38" customHeight="1">
      <x:c r="A150" s="6" t="str">
        <x:v>xhs_6ad567c8000000000100b3da</x:v>
      </x:c>
      <x:c r="B150" s="6" t="str">
        <x:v>xhs_6ad52f2a0000000029009b2b</x:v>
      </x:c>
      <x:c r="C150" s="6" t="str">
        <x:v>Xiaohongshu</x:v>
      </x:c>
      <x:c r="D150" s="6" t="str">
        <x:v>xhs_U_63d4bb4bc09e674c</x:v>
      </x:c>
      <x:c r="E150" s="6" t="str">
        <x:v>太棒了！！！</x:v>
      </x:c>
      <x:c r="F150" s="6" t="d">
        <x:v>2026-10-19T00:43:52.000Z</x:v>
      </x:c>
      <x:c r="G150" s="6" t="d">
        <x:v>2026-10-19T00:43:52.000Z</x:v>
      </x:c>
      <x:c r="H150" s="6" t="n">
        <x:v>43</x:v>
      </x:c>
      <x:c r="I150" s="6" t="str">
        <x:v>Code: upstream library adapter; not a browser transcription</x:v>
      </x:c>
      <x:c r="J150" s="6" t="str">
        <x:v>RESEARCH_WORKSPACE/ResearchTools/SaSa_Comment_Collection/data/xhs_research/comments.jsonl</x:v>
      </x:c>
      <x:c r="K150" s="6" t="str">
        <x:v>https://www.xiaohongshu.com/explore/6ad52f2a0000000029009b2b</x:v>
      </x:c>
      <x:c r="L150" s="6" t="str">
        <x:v>2026-10-19 to 2026-10-20 Hong Kong time</x:v>
      </x:c>
      <x:c r="M150" s="6" t="str">
        <x:v>2026_extension</x:v>
      </x:c>
    </x:row>
    <x:row r="151" ht="38" customHeight="1">
      <x:c r="A151" s="6" t="str">
        <x:v>xhs_6ad5c608000000001301b8f8</x:v>
      </x:c>
      <x:c r="B151" s="6" t="str">
        <x:v>xhs_6ad52f2a0000000029009b2b</x:v>
      </x:c>
      <x:c r="C151" s="6" t="str">
        <x:v>Xiaohongshu</x:v>
      </x:c>
      <x:c r="D151" s="6" t="str">
        <x:v>xhs_U_1572c82d8651fa72</x:v>
      </x:c>
      <x:c r="E151" s="6" t="str">
        <x:v>WOW[派对R]</x:v>
      </x:c>
      <x:c r="F151" s="6" t="d">
        <x:v>2026-10-19T07:26:00.000Z</x:v>
      </x:c>
      <x:c r="G151" s="6" t="d">
        <x:v>2026-10-19T07:26:00.000Z</x:v>
      </x:c>
      <x:c r="H151" s="6" t="n">
        <x:v>44</x:v>
      </x:c>
      <x:c r="I151" s="6" t="str">
        <x:v>Code: upstream library adapter; not a browser transcription</x:v>
      </x:c>
      <x:c r="J151" s="6" t="str">
        <x:v>RESEARCH_WORKSPACE/ResearchTools/SaSa_Comment_Collection/data/xhs_research/comments.jsonl</x:v>
      </x:c>
      <x:c r="K151" s="6" t="str">
        <x:v>https://www.xiaohongshu.com/explore/6ad52f2a0000000029009b2b</x:v>
      </x:c>
      <x:c r="L151" s="6" t="str">
        <x:v>2026-10-19 to 2026-10-20 Hong Kong time</x:v>
      </x:c>
      <x:c r="M151" s="6" t="str">
        <x:v>2026_extension</x:v>
      </x:c>
    </x:row>
    <x:row r="152" ht="38" customHeight="1">
      <x:c r="A152" s="6" t="str">
        <x:v>xhs_6ad5703e0000000013005f56</x:v>
      </x:c>
      <x:c r="B152" s="6" t="str">
        <x:v>xhs_6ad52f2a0000000029009b2b</x:v>
      </x:c>
      <x:c r="C152" s="6" t="str">
        <x:v>Xiaohongshu</x:v>
      </x:c>
      <x:c r="D152" s="6" t="str">
        <x:v>xhs_U_8e7774e5c7fd9e7d</x:v>
      </x:c>
      <x:c r="E152" s="6" t="str">
        <x:v>[捂脸R][捂脸R][捂脸R][捂脸R][捂脸R][捂脸R][捂脸R][捂脸R][捂脸R]</x:v>
      </x:c>
      <x:c r="F152" s="6" t="d">
        <x:v>2026-10-19T01:19:58.000Z</x:v>
      </x:c>
      <x:c r="G152" s="6" t="d">
        <x:v>2026-10-19T01:19:58.000Z</x:v>
      </x:c>
      <x:c r="H152" s="6" t="n">
        <x:v>45</x:v>
      </x:c>
      <x:c r="I152" s="6" t="str">
        <x:v>Code: upstream library adapter; not a browser transcription</x:v>
      </x:c>
      <x:c r="J152" s="6" t="str">
        <x:v>RESEARCH_WORKSPACE/ResearchTools/SaSa_Comment_Collection/data/xhs_research/comments.jsonl</x:v>
      </x:c>
      <x:c r="K152" s="6" t="str">
        <x:v>https://www.xiaohongshu.com/explore/6ad52f2a0000000029009b2b</x:v>
      </x:c>
      <x:c r="L152" s="6" t="str">
        <x:v>2026-10-19 to 2026-10-20 Hong Kong time</x:v>
      </x:c>
      <x:c r="M152" s="6" t="str">
        <x:v>2026_extension</x:v>
      </x:c>
    </x:row>
    <x:row r="153" ht="52" customHeight="1">
      <x:c r="A153" s="6" t="str">
        <x:v>instagram_18021104606728706</x:v>
      </x:c>
      <x:c r="B153" s="6" t="str">
        <x:v>instagram_DeppGlOxgA4</x:v>
      </x:c>
      <x:c r="C153" s="6" t="str">
        <x:v>Instagram</x:v>
      </x:c>
      <x:c r="D153" s="6" t="str">
        <x:v>IG_EXT_U01</x:v>
      </x:c>
      <x:c r="E153" s="6" t="str">
        <x:v>WOW! Que maravilhosa! Amamos ver nosso reizinho BT VELVET em ação nessa obra de arte, Ana. Entregou muito! Parabéns! 💙🥰</x:v>
      </x:c>
      <x:c r="F153" s="6" t="str">
        <x:v>4 h</x:v>
      </x:c>
      <x:c r="G153" s="6" t="d">
        <x:v>2026-10-19T13:37:58.000Z</x:v>
      </x:c>
      <x:c r="H153" s="6" t="str">
        <x:v>1</x:v>
      </x:c>
      <x:c r="I153" s="6" t="str">
        <x:v>Browser DOM; screenshot cross-check</x:v>
      </x:c>
      <x:c r="J153" s="6" t="str">
        <x:v>RESEARCH_WORKSPACE/ResearchTools/SaSa_Comment_Collection/data/instagram_browser/DeppGlOxgA4_1792433992025104000.json</x:v>
      </x:c>
      <x:c r="K153" s="6" t="str">
        <x:v>https://www.instagram.com/reel/DeppGlOxgA4/</x:v>
      </x:c>
      <x:c r="L153" s="6" t="str">
        <x:v>2026-10-19 to 2026-10-20 Hong Kong time</x:v>
      </x:c>
      <x:c r="M153" s="6" t="str">
        <x:v>2026_extension</x:v>
      </x:c>
    </x:row>
    <x:row r="154" ht="52" customHeight="1">
      <x:c r="A154" s="6" t="str">
        <x:v>instagram_18436987594179228</x:v>
      </x:c>
      <x:c r="B154" s="6" t="str">
        <x:v>instagram_DeppGlOxgA4</x:v>
      </x:c>
      <x:c r="C154" s="6" t="str">
        <x:v>Instagram</x:v>
      </x:c>
      <x:c r="D154" s="6" t="str">
        <x:v>IG_EXT_U02</x:v>
      </x:c>
      <x:c r="E154" s="6" t="str">
        <x:v>Parabéns! Incrível!</x:v>
      </x:c>
      <x:c r="F154" s="6" t="str">
        <x:v>16 h</x:v>
      </x:c>
      <x:c r="G154" s="6" t="d">
        <x:v>2026-10-19T02:14:18.000Z</x:v>
      </x:c>
      <x:c r="H154" s="6" t="str">
        <x:v>2</x:v>
      </x:c>
      <x:c r="I154" s="6" t="str">
        <x:v>Browser DOM; screenshot cross-check</x:v>
      </x:c>
      <x:c r="J154" s="6" t="str">
        <x:v>RESEARCH_WORKSPACE/ResearchTools/SaSa_Comment_Collection/data/instagram_browser/DeppGlOxgA4_1792433992025104000.json</x:v>
      </x:c>
      <x:c r="K154" s="6" t="str">
        <x:v>https://www.instagram.com/reel/DeppGlOxgA4/</x:v>
      </x:c>
      <x:c r="L154" s="6" t="str">
        <x:v>2026-10-19 to 2026-10-20 Hong Kong time</x:v>
      </x:c>
      <x:c r="M154" s="6" t="str">
        <x:v>2026_extension</x:v>
      </x:c>
    </x:row>
    <x:row r="155" ht="52" customHeight="1">
      <x:c r="A155" s="6" t="str">
        <x:v>instagram_18111239435333172</x:v>
      </x:c>
      <x:c r="B155" s="6" t="str">
        <x:v>instagram_DeppGlOxgA4</x:v>
      </x:c>
      <x:c r="C155" s="6" t="str">
        <x:v>Instagram</x:v>
      </x:c>
      <x:c r="D155" s="6" t="str">
        <x:v>IG_EXT_U03</x:v>
      </x:c>
      <x:c r="E155" s="6" t="str">
        <x:v>Talentosa demais 👏👏👏👏</x:v>
      </x:c>
      <x:c r="F155" s="6" t="str">
        <x:v>15 h</x:v>
      </x:c>
      <x:c r="G155" s="6" t="d">
        <x:v>2026-10-19T02:22:18.000Z</x:v>
      </x:c>
      <x:c r="H155" s="6" t="str">
        <x:v>3</x:v>
      </x:c>
      <x:c r="I155" s="6" t="str">
        <x:v>Browser DOM; screenshot cross-check</x:v>
      </x:c>
      <x:c r="J155" s="6" t="str">
        <x:v>RESEARCH_WORKSPACE/ResearchTools/SaSa_Comment_Collection/data/instagram_browser/DeppGlOxgA4_1792433992025104000.json</x:v>
      </x:c>
      <x:c r="K155" s="6" t="str">
        <x:v>https://www.instagram.com/reel/DeppGlOxgA4/</x:v>
      </x:c>
      <x:c r="L155" s="6" t="str">
        <x:v>2026-10-19 to 2026-10-20 Hong Kong time</x:v>
      </x:c>
      <x:c r="M155" s="6" t="str">
        <x:v>2026_extension</x:v>
      </x:c>
    </x:row>
    <x:row r="156" ht="52" customHeight="1">
      <x:c r="A156" s="6" t="str">
        <x:v>instagram_18115544456041797</x:v>
      </x:c>
      <x:c r="B156" s="6" t="str">
        <x:v>instagram_DeppGlOxgA4</x:v>
      </x:c>
      <x:c r="C156" s="6" t="str">
        <x:v>Instagram</x:v>
      </x:c>
      <x:c r="D156" s="6" t="str">
        <x:v>IG_EXT_U04</x:v>
      </x:c>
      <x:c r="E156" s="6" t="str">
        <x:v>Ficou incrível</x:v>
      </x:c>
      <x:c r="F156" s="6" t="str">
        <x:v>20 h</x:v>
      </x:c>
      <x:c r="G156" s="6" t="d">
        <x:v>2026-10-18T22:00:01.000Z</x:v>
      </x:c>
      <x:c r="H156" s="6" t="str">
        <x:v>4</x:v>
      </x:c>
      <x:c r="I156" s="6" t="str">
        <x:v>Browser DOM; screenshot cross-check</x:v>
      </x:c>
      <x:c r="J156" s="6" t="str">
        <x:v>RESEARCH_WORKSPACE/ResearchTools/SaSa_Comment_Collection/data/instagram_browser/DeppGlOxgA4_1792433992025104000.json</x:v>
      </x:c>
      <x:c r="K156" s="6" t="str">
        <x:v>https://www.instagram.com/reel/DeppGlOxgA4/</x:v>
      </x:c>
      <x:c r="L156" s="6" t="str">
        <x:v>2026-10-19 to 2026-10-20 Hong Kong time</x:v>
      </x:c>
      <x:c r="M156" s="6" t="str">
        <x:v>2026_extension</x:v>
      </x:c>
    </x:row>
    <x:row r="157" ht="52" customHeight="1">
      <x:c r="A157" s="6" t="str">
        <x:v>instagram_18118359988952939</x:v>
      </x:c>
      <x:c r="B157" s="6" t="str">
        <x:v>instagram_DeppGlOxgA4</x:v>
      </x:c>
      <x:c r="C157" s="6" t="str">
        <x:v>Instagram</x:v>
      </x:c>
      <x:c r="D157" s="6" t="str">
        <x:v>IG_EXT_U05</x:v>
      </x:c>
      <x:c r="E157" s="6" t="str">
        <x:v>Artista 👏👏</x:v>
      </x:c>
      <x:c r="F157" s="6" t="str">
        <x:v>20 h</x:v>
      </x:c>
      <x:c r="G157" s="6" t="d">
        <x:v>2026-10-18T21:30:57.000Z</x:v>
      </x:c>
      <x:c r="H157" s="6" t="str">
        <x:v>5</x:v>
      </x:c>
      <x:c r="I157" s="6" t="str">
        <x:v>Browser DOM; screenshot cross-check</x:v>
      </x:c>
      <x:c r="J157" s="6" t="str">
        <x:v>RESEARCH_WORKSPACE/ResearchTools/SaSa_Comment_Collection/data/instagram_browser/DeppGlOxgA4_1792433992025104000.json</x:v>
      </x:c>
      <x:c r="K157" s="6" t="str">
        <x:v>https://www.instagram.com/reel/DeppGlOxgA4/</x:v>
      </x:c>
      <x:c r="L157" s="6" t="str">
        <x:v>2026-10-19 to 2026-10-20 Hong Kong time</x:v>
      </x:c>
      <x:c r="M157" s="6" t="str">
        <x:v>2026_extension</x:v>
      </x:c>
    </x:row>
    <x:row r="158" ht="52" customHeight="1">
      <x:c r="A158" s="6" t="str">
        <x:v>instagram_18120769931289834</x:v>
      </x:c>
      <x:c r="B158" s="6" t="str">
        <x:v>instagram_DeppGlOxgA4</x:v>
      </x:c>
      <x:c r="C158" s="6" t="str">
        <x:v>Instagram</x:v>
      </x:c>
      <x:c r="D158" s="6" t="str">
        <x:v>IG_EXT_U06</x:v>
      </x:c>
      <x:c r="E158" s="6" t="str">
        <x:v>Woooow eres una master ! Bravo</x:v>
      </x:c>
      <x:c r="F158" s="6" t="str">
        <x:v>19 h</x:v>
      </x:c>
      <x:c r="G158" s="6" t="d">
        <x:v>2026-10-18T23:16:59.000Z</x:v>
      </x:c>
      <x:c r="H158" s="6" t="str">
        <x:v>6</x:v>
      </x:c>
      <x:c r="I158" s="6" t="str">
        <x:v>Browser DOM; screenshot cross-check</x:v>
      </x:c>
      <x:c r="J158" s="6" t="str">
        <x:v>RESEARCH_WORKSPACE/ResearchTools/SaSa_Comment_Collection/data/instagram_browser/DeppGlOxgA4_1792433992025104000.json</x:v>
      </x:c>
      <x:c r="K158" s="6" t="str">
        <x:v>https://www.instagram.com/reel/DeppGlOxgA4/</x:v>
      </x:c>
      <x:c r="L158" s="6" t="str">
        <x:v>2026-10-19 to 2026-10-20 Hong Kong time</x:v>
      </x:c>
      <x:c r="M158" s="6" t="str">
        <x:v>2026_extension</x:v>
      </x:c>
    </x:row>
    <x:row r="159" ht="52" customHeight="1">
      <x:c r="A159" s="6" t="str">
        <x:v>instagram_18143960338606159</x:v>
      </x:c>
      <x:c r="B159" s="6" t="str">
        <x:v>instagram_DeppGlOxgA4</x:v>
      </x:c>
      <x:c r="C159" s="6" t="str">
        <x:v>Instagram</x:v>
      </x:c>
      <x:c r="D159" s="6" t="str">
        <x:v>IG_EXT_U07</x:v>
      </x:c>
      <x:c r="E159" s="6" t="str">
        <x:v>Obrigada por compartilhar diva!!!!</x:v>
      </x:c>
      <x:c r="F159" s="6" t="str">
        <x:v>19 h</x:v>
      </x:c>
      <x:c r="G159" s="6" t="d">
        <x:v>2026-10-18T22:48:18.000Z</x:v>
      </x:c>
      <x:c r="H159" s="6" t="str">
        <x:v>7</x:v>
      </x:c>
      <x:c r="I159" s="6" t="str">
        <x:v>Browser DOM; screenshot cross-check</x:v>
      </x:c>
      <x:c r="J159" s="6" t="str">
        <x:v>RESEARCH_WORKSPACE/ResearchTools/SaSa_Comment_Collection/data/instagram_browser/DeppGlOxgA4_1792433992025104000.json</x:v>
      </x:c>
      <x:c r="K159" s="6" t="str">
        <x:v>https://www.instagram.com/reel/DeppGlOxgA4/</x:v>
      </x:c>
      <x:c r="L159" s="6" t="str">
        <x:v>2026-10-19 to 2026-10-20 Hong Kong time</x:v>
      </x:c>
      <x:c r="M159" s="6" t="str">
        <x:v>2026_extension</x:v>
      </x:c>
    </x:row>
    <x:row r="160" ht="52" customHeight="1">
      <x:c r="A160" s="6" t="str">
        <x:v>instagram_17990768286107960</x:v>
      </x:c>
      <x:c r="B160" s="6" t="str">
        <x:v>instagram_DeppGlOxgA4</x:v>
      </x:c>
      <x:c r="C160" s="6" t="str">
        <x:v>Instagram</x:v>
      </x:c>
      <x:c r="D160" s="6" t="str">
        <x:v>IG_EXT_U08</x:v>
      </x:c>
      <x:c r="E160" s="6" t="str">
        <x:v>Ficou incrível. Parabéns !!! 😍❤️</x:v>
      </x:c>
      <x:c r="F160" s="6" t="str">
        <x:v>16 h</x:v>
      </x:c>
      <x:c r="G160" s="6" t="d">
        <x:v>2026-10-19T02:14:00.000Z</x:v>
      </x:c>
      <x:c r="H160" s="6" t="str">
        <x:v>8</x:v>
      </x:c>
      <x:c r="I160" s="6" t="str">
        <x:v>Browser DOM; screenshot cross-check</x:v>
      </x:c>
      <x:c r="J160" s="6" t="str">
        <x:v>RESEARCH_WORKSPACE/ResearchTools/SaSa_Comment_Collection/data/instagram_browser/DeppGlOxgA4_1792433992025104000.json</x:v>
      </x:c>
      <x:c r="K160" s="6" t="str">
        <x:v>https://www.instagram.com/reel/DeppGlOxgA4/</x:v>
      </x:c>
      <x:c r="L160" s="6" t="str">
        <x:v>2026-10-19 to 2026-10-20 Hong Kong time</x:v>
      </x:c>
      <x:c r="M160" s="6" t="str">
        <x:v>2026_extension</x:v>
      </x:c>
    </x:row>
    <x:row r="161" ht="52" customHeight="1">
      <x:c r="A161" s="6" t="str">
        <x:v>instagram_18118727269992361</x:v>
      </x:c>
      <x:c r="B161" s="6" t="str">
        <x:v>instagram_DeppGlOxgA4</x:v>
      </x:c>
      <x:c r="C161" s="6" t="str">
        <x:v>Instagram</x:v>
      </x:c>
      <x:c r="D161" s="6" t="str">
        <x:v>IG_EXT_U09</x:v>
      </x:c>
      <x:c r="E161" s="6" t="str">
        <x:v>Arrasa demais</x:v>
      </x:c>
      <x:c r="F161" s="6" t="str">
        <x:v>20 h</x:v>
      </x:c>
      <x:c r="G161" s="6" t="d">
        <x:v>2026-10-18T22:09:37.000Z</x:v>
      </x:c>
      <x:c r="H161" s="6" t="str">
        <x:v>9</x:v>
      </x:c>
      <x:c r="I161" s="6" t="str">
        <x:v>Browser DOM; screenshot cross-check</x:v>
      </x:c>
      <x:c r="J161" s="6" t="str">
        <x:v>RESEARCH_WORKSPACE/ResearchTools/SaSa_Comment_Collection/data/instagram_browser/DeppGlOxgA4_1792433992025104000.json</x:v>
      </x:c>
      <x:c r="K161" s="6" t="str">
        <x:v>https://www.instagram.com/reel/DeppGlOxgA4/</x:v>
      </x:c>
      <x:c r="L161" s="6" t="str">
        <x:v>2026-10-19 to 2026-10-20 Hong Kong time</x:v>
      </x:c>
      <x:c r="M161" s="6" t="str">
        <x:v>2026_extension</x:v>
      </x:c>
    </x:row>
    <x:row r="162" ht="52" customHeight="1">
      <x:c r="A162" s="6" t="str">
        <x:v>instagram_18133940590673023</x:v>
      </x:c>
      <x:c r="B162" s="6" t="str">
        <x:v>instagram_DeppGlOxgA4</x:v>
      </x:c>
      <x:c r="C162" s="6" t="str">
        <x:v>Instagram</x:v>
      </x:c>
      <x:c r="D162" s="6" t="str">
        <x:v>IG_EXT_U10</x:v>
      </x:c>
      <x:c r="E162" s="6" t="str">
        <x:v>Perfeito 🔥</x:v>
      </x:c>
      <x:c r="F162" s="6" t="str">
        <x:v>5 h</x:v>
      </x:c>
      <x:c r="G162" s="6" t="d">
        <x:v>2026-10-19T13:03:54.000Z</x:v>
      </x:c>
      <x:c r="H162" s="6" t="str">
        <x:v>10</x:v>
      </x:c>
      <x:c r="I162" s="6" t="str">
        <x:v>Browser DOM; screenshot cross-check</x:v>
      </x:c>
      <x:c r="J162" s="6" t="str">
        <x:v>RESEARCH_WORKSPACE/ResearchTools/SaSa_Comment_Collection/data/instagram_browser/DeppGlOxgA4_1792433992025104000.json</x:v>
      </x:c>
      <x:c r="K162" s="6" t="str">
        <x:v>https://www.instagram.com/reel/DeppGlOxgA4/</x:v>
      </x:c>
      <x:c r="L162" s="6" t="str">
        <x:v>2026-10-19 to 2026-10-20 Hong Kong time</x:v>
      </x:c>
      <x:c r="M162" s="6" t="str">
        <x:v>2026_extension</x:v>
      </x:c>
    </x:row>
    <x:row r="163" ht="52" customHeight="1">
      <x:c r="A163" s="6" t="str">
        <x:v>instagram_18081644540708930</x:v>
      </x:c>
      <x:c r="B163" s="6" t="str">
        <x:v>instagram_DeppGlOxgA4</x:v>
      </x:c>
      <x:c r="C163" s="6" t="str">
        <x:v>Instagram</x:v>
      </x:c>
      <x:c r="D163" s="6" t="str">
        <x:v>IG_EXT_U11</x:v>
      </x:c>
      <x:c r="E163" s="6" t="str">
        <x:v>Incrível, muito talentosa! 👏👏👏</x:v>
      </x:c>
      <x:c r="F163" s="6" t="str">
        <x:v>20 h</x:v>
      </x:c>
      <x:c r="G163" s="6" t="d">
        <x:v>2026-10-18T21:49:00.000Z</x:v>
      </x:c>
      <x:c r="H163" s="6" t="str">
        <x:v>11</x:v>
      </x:c>
      <x:c r="I163" s="6" t="str">
        <x:v>Browser DOM; screenshot cross-check</x:v>
      </x:c>
      <x:c r="J163" s="6" t="str">
        <x:v>RESEARCH_WORKSPACE/ResearchTools/SaSa_Comment_Collection/data/instagram_browser/DeppGlOxgA4_1792433992025104000.json</x:v>
      </x:c>
      <x:c r="K163" s="6" t="str">
        <x:v>https://www.instagram.com/reel/DeppGlOxgA4/</x:v>
      </x:c>
      <x:c r="L163" s="6" t="str">
        <x:v>2026-10-19 to 2026-10-20 Hong Kong time</x:v>
      </x:c>
      <x:c r="M163" s="6" t="str">
        <x:v>2026_extension</x:v>
      </x:c>
    </x:row>
    <x:row r="164" ht="52" customHeight="1">
      <x:c r="A164" s="6" t="str">
        <x:v>instagram_18128211604854674</x:v>
      </x:c>
      <x:c r="B164" s="6" t="str">
        <x:v>instagram_DeppGlOxgA4</x:v>
      </x:c>
      <x:c r="C164" s="6" t="str">
        <x:v>Instagram</x:v>
      </x:c>
      <x:c r="D164" s="6" t="str">
        <x:v>IG_EXT_U12</x:v>
      </x:c>
      <x:c r="E164" s="6" t="str">
        <x:v>Horripilante seu trabalho 👏 parabéns</x:v>
      </x:c>
      <x:c r="F164" s="6" t="str">
        <x:v>17 h</x:v>
      </x:c>
      <x:c r="G164" s="6" t="d">
        <x:v>2026-10-19T01:02:21.000Z</x:v>
      </x:c>
      <x:c r="H164" s="6" t="str">
        <x:v>12</x:v>
      </x:c>
      <x:c r="I164" s="6" t="str">
        <x:v>Browser DOM; screenshot cross-check</x:v>
      </x:c>
      <x:c r="J164" s="6" t="str">
        <x:v>RESEARCH_WORKSPACE/ResearchTools/SaSa_Comment_Collection/data/instagram_browser/DeppGlOxgA4_1792433992025104000.json</x:v>
      </x:c>
      <x:c r="K164" s="6" t="str">
        <x:v>https://www.instagram.com/reel/DeppGlOxgA4/</x:v>
      </x:c>
      <x:c r="L164" s="6" t="str">
        <x:v>2026-10-19 to 2026-10-20 Hong Kong time</x:v>
      </x:c>
      <x:c r="M164" s="6" t="str">
        <x:v>2026_extension</x:v>
      </x:c>
    </x:row>
    <x:row r="165" ht="52" customHeight="1">
      <x:c r="A165" s="6" t="str">
        <x:v>instagram_18119091587052467</x:v>
      </x:c>
      <x:c r="B165" s="6" t="str">
        <x:v>instagram_DeppGlOxgA4</x:v>
      </x:c>
      <x:c r="C165" s="6" t="str">
        <x:v>Instagram</x:v>
      </x:c>
      <x:c r="D165" s="6" t="str">
        <x:v>IG_EXT_U04</x:v>
      </x:c>
      <x:c r="E165" s="6" t="str">
        <x:v>Uauuuu</x:v>
      </x:c>
      <x:c r="F165" s="6" t="str">
        <x:v>20 h</x:v>
      </x:c>
      <x:c r="G165" s="6" t="d">
        <x:v>2026-10-18T21:59:55.000Z</x:v>
      </x:c>
      <x:c r="H165" s="6" t="str">
        <x:v>13</x:v>
      </x:c>
      <x:c r="I165" s="6" t="str">
        <x:v>Browser DOM; screenshot cross-check</x:v>
      </x:c>
      <x:c r="J165" s="6" t="str">
        <x:v>RESEARCH_WORKSPACE/ResearchTools/SaSa_Comment_Collection/data/instagram_browser/DeppGlOxgA4_1792433992025104000.json</x:v>
      </x:c>
      <x:c r="K165" s="6" t="str">
        <x:v>https://www.instagram.com/reel/DeppGlOxgA4/</x:v>
      </x:c>
      <x:c r="L165" s="6" t="str">
        <x:v>2026-10-19 to 2026-10-20 Hong Kong time</x:v>
      </x:c>
      <x:c r="M165" s="6" t="str">
        <x:v>2026_extension</x:v>
      </x:c>
    </x:row>
    <x:row r="166" ht="52" customHeight="1">
      <x:c r="A166" s="6" t="str">
        <x:v>instagram_18134477980675608</x:v>
      </x:c>
      <x:c r="B166" s="6" t="str">
        <x:v>instagram_DeppGlOxgA4</x:v>
      </x:c>
      <x:c r="C166" s="6" t="str">
        <x:v>Instagram</x:v>
      </x:c>
      <x:c r="D166" s="6" t="str">
        <x:v>IG_EXT_U13</x:v>
      </x:c>
      <x:c r="E166" s="6" t="str">
        <x:v>Nossa eu amei demais. Você arrasa demais.</x:v>
      </x:c>
      <x:c r="F166" s="6" t="str">
        <x:v>17 h</x:v>
      </x:c>
      <x:c r="G166" s="6" t="d">
        <x:v>2026-10-19T01:20:38.000Z</x:v>
      </x:c>
      <x:c r="H166" s="6" t="str">
        <x:v>14</x:v>
      </x:c>
      <x:c r="I166" s="6" t="str">
        <x:v>Browser DOM; screenshot cross-check</x:v>
      </x:c>
      <x:c r="J166" s="6" t="str">
        <x:v>RESEARCH_WORKSPACE/ResearchTools/SaSa_Comment_Collection/data/instagram_browser/DeppGlOxgA4_1792433992025104000.json</x:v>
      </x:c>
      <x:c r="K166" s="6" t="str">
        <x:v>https://www.instagram.com/reel/DeppGlOxgA4/</x:v>
      </x:c>
      <x:c r="L166" s="6" t="str">
        <x:v>2026-10-19 to 2026-10-20 Hong Kong time</x:v>
      </x:c>
      <x:c r="M166" s="6" t="str">
        <x:v>2026_extension</x:v>
      </x:c>
    </x:row>
    <x:row r="167" ht="52" customHeight="1">
      <x:c r="A167" s="6" t="str">
        <x:v>instagram_18339729463274292</x:v>
      </x:c>
      <x:c r="B167" s="6" t="str">
        <x:v>instagram_DeppGlOxgA4</x:v>
      </x:c>
      <x:c r="C167" s="6" t="str">
        <x:v>Instagram</x:v>
      </x:c>
      <x:c r="D167" s="6" t="str">
        <x:v>IG_EXT_U14</x:v>
      </x:c>
      <x:c r="E167" s="6" t="str">
        <x:v>Moçaaaaaa .. vc arrasou!!!
Que horripilante essa make!! 😬
👏🏻👏🏻👏🏻👏🏻👏🏻👏🏻👏🏻👏🏻</x:v>
      </x:c>
      <x:c r="F167" s="6" t="str">
        <x:v>16 h</x:v>
      </x:c>
      <x:c r="G167" s="6" t="d">
        <x:v>2026-10-19T02:13:02.000Z</x:v>
      </x:c>
      <x:c r="H167" s="6" t="str">
        <x:v>15</x:v>
      </x:c>
      <x:c r="I167" s="6" t="str">
        <x:v>Browser DOM; screenshot cross-check</x:v>
      </x:c>
      <x:c r="J167" s="6" t="str">
        <x:v>RESEARCH_WORKSPACE/ResearchTools/SaSa_Comment_Collection/data/instagram_browser/DeppGlOxgA4_1792433992025104000.json</x:v>
      </x:c>
      <x:c r="K167" s="6" t="str">
        <x:v>https://www.instagram.com/reel/DeppGlOxgA4/</x:v>
      </x:c>
      <x:c r="L167" s="6" t="str">
        <x:v>2026-10-19 to 2026-10-20 Hong Kong time</x:v>
      </x:c>
      <x:c r="M167" s="6" t="str">
        <x:v>2026_extension</x:v>
      </x:c>
    </x:row>
    <x:row r="168" ht="52" customHeight="1">
      <x:c r="A168" s="6" t="str">
        <x:v>instagram_18084093167113477</x:v>
      </x:c>
      <x:c r="B168" s="6" t="str">
        <x:v>instagram_DPRfaCiDD7n</x:v>
      </x:c>
      <x:c r="C168" s="6" t="str">
        <x:v>Instagram</x:v>
      </x:c>
      <x:c r="D168" s="6" t="str">
        <x:v>instagram_DPRfaCiDD7n_U01</x:v>
      </x:c>
      <x:c r="E168" s="6" t="str">
        <x:v>nice lenses😍</x:v>
      </x:c>
      <x:c r="F168" s="6" t="d">
        <x:v>2025-12-19T03:11:38.000Z</x:v>
      </x:c>
      <x:c r="G168" s="6" t="d">
        <x:v>2025-12-19T03:11:38.000Z</x:v>
      </x:c>
      <x:c r="H168" s="6" t="str">
        <x:v>1</x:v>
      </x:c>
      <x:c r="I168" s="6" t="str">
        <x:v>Browser DOM; signup overlay affected evidence</x:v>
      </x:c>
      <x:c r="J168" s="6" t="str">
        <x:v>RESEARCH_WORKSPACE/ResearchTools/SaSa_Comment_Collection/data/instagram_historical/DPRfaCiDD7n_1792434597094325000.json</x:v>
      </x:c>
      <x:c r="K168" s="6" t="str">
        <x:v>https://www.instagram.com/reel/DPRfaCiDD7n/</x:v>
      </x:c>
      <x:c r="L168" s="6" t="str">
        <x:v>2026-10-19 to 2026-10-20 Hong Kong time</x:v>
      </x:c>
      <x:c r="M168" s="6" t="str">
        <x:v>outside_selected_season</x:v>
      </x:c>
    </x:row>
    <x:row r="169" ht="52" customHeight="1">
      <x:c r="A169" s="6" t="str">
        <x:v>instagram_17907332958144614</x:v>
      </x:c>
      <x:c r="B169" s="6" t="str">
        <x:v>instagram_DPRfaCiDD7n</x:v>
      </x:c>
      <x:c r="C169" s="6" t="str">
        <x:v>Instagram</x:v>
      </x:c>
      <x:c r="D169" s="6" t="str">
        <x:v>instagram_DPRfaCiDD7n_U02</x:v>
      </x:c>
      <x:c r="E169" s="6" t="str">
        <x:v>l love thiss</x:v>
      </x:c>
      <x:c r="F169" s="6" t="d">
        <x:v>2025-12-18T15:46:37.000Z</x:v>
      </x:c>
      <x:c r="G169" s="6" t="d">
        <x:v>2025-12-18T15:46:37.000Z</x:v>
      </x:c>
      <x:c r="H169" s="6" t="str">
        <x:v>2</x:v>
      </x:c>
      <x:c r="I169" s="6" t="str">
        <x:v>Browser DOM; signup overlay affected evidence</x:v>
      </x:c>
      <x:c r="J169" s="6" t="str">
        <x:v>RESEARCH_WORKSPACE/ResearchTools/SaSa_Comment_Collection/data/instagram_historical/DPRfaCiDD7n_1792434597094325000.json</x:v>
      </x:c>
      <x:c r="K169" s="6" t="str">
        <x:v>https://www.instagram.com/reel/DPRfaCiDD7n/</x:v>
      </x:c>
      <x:c r="L169" s="6" t="str">
        <x:v>2026-10-19 to 2026-10-20 Hong Kong time</x:v>
      </x:c>
      <x:c r="M169" s="6" t="str">
        <x:v>outside_selected_season</x:v>
      </x:c>
    </x:row>
    <x:row r="170" ht="52" customHeight="1">
      <x:c r="A170" s="6" t="str">
        <x:v>instagram_18138895612461112</x:v>
      </x:c>
      <x:c r="B170" s="6" t="str">
        <x:v>instagram_DPRfaCiDD7n</x:v>
      </x:c>
      <x:c r="C170" s="6" t="str">
        <x:v>Instagram</x:v>
      </x:c>
      <x:c r="D170" s="6" t="str">
        <x:v>instagram_DPRfaCiDD7n_U03</x:v>
      </x:c>
      <x:c r="E170" s="6" t="str">
        <x:v>❤️❤️</x:v>
      </x:c>
      <x:c r="F170" s="6" t="d">
        <x:v>2025-12-13T01:00:43.000Z</x:v>
      </x:c>
      <x:c r="G170" s="6" t="d">
        <x:v>2025-12-13T01:00:43.000Z</x:v>
      </x:c>
      <x:c r="H170" s="6" t="str">
        <x:v>3</x:v>
      </x:c>
      <x:c r="I170" s="6" t="str">
        <x:v>Browser DOM; signup overlay affected evidence</x:v>
      </x:c>
      <x:c r="J170" s="6" t="str">
        <x:v>RESEARCH_WORKSPACE/ResearchTools/SaSa_Comment_Collection/data/instagram_historical/DPRfaCiDD7n_1792434597094325000.json</x:v>
      </x:c>
      <x:c r="K170" s="6" t="str">
        <x:v>https://www.instagram.com/reel/DPRfaCiDD7n/</x:v>
      </x:c>
      <x:c r="L170" s="6" t="str">
        <x:v>2026-10-19 to 2026-10-20 Hong Kong time</x:v>
      </x:c>
      <x:c r="M170" s="6" t="str">
        <x:v>outside_selected_season</x:v>
      </x:c>
    </x:row>
    <x:row r="171" ht="52" customHeight="1">
      <x:c r="A171" s="6" t="str">
        <x:v>instagram_18329635168245318</x:v>
      </x:c>
      <x:c r="B171" s="6" t="str">
        <x:v>instagram_DPRfaCiDD7n</x:v>
      </x:c>
      <x:c r="C171" s="6" t="str">
        <x:v>Instagram</x:v>
      </x:c>
      <x:c r="D171" s="6" t="str">
        <x:v>instagram_DPRfaCiDD7n_U04</x:v>
      </x:c>
      <x:c r="E171" s="6" t="str">
        <x:v>Cum makeup look 😍</x:v>
      </x:c>
      <x:c r="F171" s="6" t="d">
        <x:v>2025-11-27T08:41:24.000Z</x:v>
      </x:c>
      <x:c r="G171" s="6" t="d">
        <x:v>2025-11-27T08:41:24.000Z</x:v>
      </x:c>
      <x:c r="H171" s="6" t="str">
        <x:v>4</x:v>
      </x:c>
      <x:c r="I171" s="6" t="str">
        <x:v>Browser DOM; signup overlay affected evidence</x:v>
      </x:c>
      <x:c r="J171" s="6" t="str">
        <x:v>RESEARCH_WORKSPACE/ResearchTools/SaSa_Comment_Collection/data/instagram_historical/DPRfaCiDD7n_1792434597094325000.json</x:v>
      </x:c>
      <x:c r="K171" s="6" t="str">
        <x:v>https://www.instagram.com/reel/DPRfaCiDD7n/</x:v>
      </x:c>
      <x:c r="L171" s="6" t="str">
        <x:v>2026-10-19 to 2026-10-20 Hong Kong time</x:v>
      </x:c>
      <x:c r="M171" s="6" t="str">
        <x:v>outside_selected_season</x:v>
      </x:c>
    </x:row>
    <x:row r="172" ht="52" customHeight="1">
      <x:c r="A172" s="6" t="str">
        <x:v>instagram_17867021337485077</x:v>
      </x:c>
      <x:c r="B172" s="6" t="str">
        <x:v>instagram_DPRfaCiDD7n</x:v>
      </x:c>
      <x:c r="C172" s="6" t="str">
        <x:v>Instagram</x:v>
      </x:c>
      <x:c r="D172" s="6" t="str">
        <x:v>instagram_DPRfaCiDD7n_U05</x:v>
      </x:c>
      <x:c r="E172" s="6" t="str">
        <x:v>Such a gorgeous look! 💕💫</x:v>
      </x:c>
      <x:c r="F172" s="6" t="d">
        <x:v>2025-11-25T21:21:06.000Z</x:v>
      </x:c>
      <x:c r="G172" s="6" t="d">
        <x:v>2025-11-25T21:21:06.000Z</x:v>
      </x:c>
      <x:c r="H172" s="6" t="str">
        <x:v>5</x:v>
      </x:c>
      <x:c r="I172" s="6" t="str">
        <x:v>Browser DOM; signup overlay affected evidence</x:v>
      </x:c>
      <x:c r="J172" s="6" t="str">
        <x:v>RESEARCH_WORKSPACE/ResearchTools/SaSa_Comment_Collection/data/instagram_historical/DPRfaCiDD7n_1792434597094325000.json</x:v>
      </x:c>
      <x:c r="K172" s="6" t="str">
        <x:v>https://www.instagram.com/reel/DPRfaCiDD7n/</x:v>
      </x:c>
      <x:c r="L172" s="6" t="str">
        <x:v>2026-10-19 to 2026-10-20 Hong Kong time</x:v>
      </x:c>
      <x:c r="M172" s="6" t="str">
        <x:v>outside_selected_season</x:v>
      </x:c>
    </x:row>
    <x:row r="173" ht="52" customHeight="1">
      <x:c r="A173" s="6" t="str">
        <x:v>instagram_18083021522093562</x:v>
      </x:c>
      <x:c r="B173" s="6" t="str">
        <x:v>instagram_DPRfaCiDD7n</x:v>
      </x:c>
      <x:c r="C173" s="6" t="str">
        <x:v>Instagram</x:v>
      </x:c>
      <x:c r="D173" s="6" t="str">
        <x:v>instagram_DPRfaCiDD7n_U06</x:v>
      </x:c>
      <x:c r="E173" s="6" t="str">
        <x:v>😍😍</x:v>
      </x:c>
      <x:c r="F173" s="6" t="d">
        <x:v>2025-11-25T09:45:26.000Z</x:v>
      </x:c>
      <x:c r="G173" s="6" t="d">
        <x:v>2025-11-25T09:45:26.000Z</x:v>
      </x:c>
      <x:c r="H173" s="6" t="str">
        <x:v>6</x:v>
      </x:c>
      <x:c r="I173" s="6" t="str">
        <x:v>Browser DOM; signup overlay affected evidence</x:v>
      </x:c>
      <x:c r="J173" s="6" t="str">
        <x:v>RESEARCH_WORKSPACE/ResearchTools/SaSa_Comment_Collection/data/instagram_historical/DPRfaCiDD7n_1792434597094325000.json</x:v>
      </x:c>
      <x:c r="K173" s="6" t="str">
        <x:v>https://www.instagram.com/reel/DPRfaCiDD7n/</x:v>
      </x:c>
      <x:c r="L173" s="6" t="str">
        <x:v>2026-10-19 to 2026-10-20 Hong Kong time</x:v>
      </x:c>
      <x:c r="M173" s="6" t="str">
        <x:v>outside_selected_season</x:v>
      </x:c>
    </x:row>
    <x:row r="174" ht="52" customHeight="1">
      <x:c r="A174" s="6" t="str">
        <x:v>instagram_18055390595640847</x:v>
      </x:c>
      <x:c r="B174" s="6" t="str">
        <x:v>instagram_DPRfaCiDD7n</x:v>
      </x:c>
      <x:c r="C174" s="6" t="str">
        <x:v>Instagram</x:v>
      </x:c>
      <x:c r="D174" s="6" t="str">
        <x:v>instagram_DPRfaCiDD7n_U07</x:v>
      </x:c>
      <x:c r="E174" s="6" t="str">
        <x:v>It’s not hallween</x:v>
      </x:c>
      <x:c r="F174" s="6" t="d">
        <x:v>2025-11-08T12:41:24.000Z</x:v>
      </x:c>
      <x:c r="G174" s="6" t="d">
        <x:v>2025-11-08T12:41:24.000Z</x:v>
      </x:c>
      <x:c r="H174" s="6" t="str">
        <x:v>7</x:v>
      </x:c>
      <x:c r="I174" s="6" t="str">
        <x:v>Browser DOM; signup overlay affected evidence</x:v>
      </x:c>
      <x:c r="J174" s="6" t="str">
        <x:v>RESEARCH_WORKSPACE/ResearchTools/SaSa_Comment_Collection/data/instagram_historical/DPRfaCiDD7n_1792434597094325000.json</x:v>
      </x:c>
      <x:c r="K174" s="6" t="str">
        <x:v>https://www.instagram.com/reel/DPRfaCiDD7n/</x:v>
      </x:c>
      <x:c r="L174" s="6" t="str">
        <x:v>2026-10-19 to 2026-10-20 Hong Kong time</x:v>
      </x:c>
      <x:c r="M174" s="6" t="str">
        <x:v>outside_selected_season</x:v>
      </x:c>
    </x:row>
    <x:row r="175" ht="52" customHeight="1">
      <x:c r="A175" s="6" t="str">
        <x:v>instagram_18539514577034427</x:v>
      </x:c>
      <x:c r="B175" s="6" t="str">
        <x:v>instagram_DPRfaCiDD7n</x:v>
      </x:c>
      <x:c r="C175" s="6" t="str">
        <x:v>Instagram</x:v>
      </x:c>
      <x:c r="D175" s="6" t="str">
        <x:v>instagram_DPRfaCiDD7n_U08</x:v>
      </x:c>
      <x:c r="E175" s="6" t="str">
        <x:v>Literally makeup goals😫</x:v>
      </x:c>
      <x:c r="F175" s="6" t="d">
        <x:v>2025-11-02T21:25:50.000Z</x:v>
      </x:c>
      <x:c r="G175" s="6" t="d">
        <x:v>2025-11-02T21:25:50.000Z</x:v>
      </x:c>
      <x:c r="H175" s="6" t="str">
        <x:v>8</x:v>
      </x:c>
      <x:c r="I175" s="6" t="str">
        <x:v>Browser DOM; signup overlay affected evidence</x:v>
      </x:c>
      <x:c r="J175" s="6" t="str">
        <x:v>RESEARCH_WORKSPACE/ResearchTools/SaSa_Comment_Collection/data/instagram_historical/DPRfaCiDD7n_1792434597094325000.json</x:v>
      </x:c>
      <x:c r="K175" s="6" t="str">
        <x:v>https://www.instagram.com/reel/DPRfaCiDD7n/</x:v>
      </x:c>
      <x:c r="L175" s="6" t="str">
        <x:v>2026-10-19 to 2026-10-20 Hong Kong time</x:v>
      </x:c>
      <x:c r="M175" s="6" t="str">
        <x:v>outside_selected_season</x:v>
      </x:c>
    </x:row>
    <x:row r="176" ht="52" customHeight="1">
      <x:c r="A176" s="6" t="str">
        <x:v>instagram_18046062962419783</x:v>
      </x:c>
      <x:c r="B176" s="6" t="str">
        <x:v>instagram_DPRfaCiDD7n</x:v>
      </x:c>
      <x:c r="C176" s="6" t="str">
        <x:v>Instagram</x:v>
      </x:c>
      <x:c r="D176" s="6" t="str">
        <x:v>instagram_DPRfaCiDD7n_U09</x:v>
      </x:c>
      <x:c r="E176" s="6" t="str">
        <x:v>😍</x:v>
      </x:c>
      <x:c r="F176" s="6" t="d">
        <x:v>2025-11-01T10:08:16.000Z</x:v>
      </x:c>
      <x:c r="G176" s="6" t="d">
        <x:v>2025-11-01T10:08:16.000Z</x:v>
      </x:c>
      <x:c r="H176" s="6" t="str">
        <x:v>9</x:v>
      </x:c>
      <x:c r="I176" s="6" t="str">
        <x:v>Browser DOM; signup overlay affected evidence</x:v>
      </x:c>
      <x:c r="J176" s="6" t="str">
        <x:v>RESEARCH_WORKSPACE/ResearchTools/SaSa_Comment_Collection/data/instagram_historical/DPRfaCiDD7n_1792434597094325000.json</x:v>
      </x:c>
      <x:c r="K176" s="6" t="str">
        <x:v>https://www.instagram.com/reel/DPRfaCiDD7n/</x:v>
      </x:c>
      <x:c r="L176" s="6" t="str">
        <x:v>2026-10-19 to 2026-10-20 Hong Kong time</x:v>
      </x:c>
      <x:c r="M176" s="6" t="str">
        <x:v>outside_selected_season</x:v>
      </x:c>
    </x:row>
    <x:row r="177" ht="52" customHeight="1">
      <x:c r="A177" s="6" t="str">
        <x:v>instagram_18326936011210649</x:v>
      </x:c>
      <x:c r="B177" s="6" t="str">
        <x:v>instagram_DPRfaCiDD7n</x:v>
      </x:c>
      <x:c r="C177" s="6" t="str">
        <x:v>Instagram</x:v>
      </x:c>
      <x:c r="D177" s="6" t="str">
        <x:v>instagram_DPRfaCiDD7n_U10</x:v>
      </x:c>
      <x:c r="E177" s="6" t="str">
        <x:v>@jodiet896 👻👻👻</x:v>
      </x:c>
      <x:c r="F177" s="6" t="d">
        <x:v>2025-10-31T21:10:23.000Z</x:v>
      </x:c>
      <x:c r="G177" s="6" t="d">
        <x:v>2025-10-31T21:10:23.000Z</x:v>
      </x:c>
      <x:c r="H177" s="6" t="str">
        <x:v>10</x:v>
      </x:c>
      <x:c r="I177" s="6" t="str">
        <x:v>Browser DOM; signup overlay affected evidence</x:v>
      </x:c>
      <x:c r="J177" s="6" t="str">
        <x:v>RESEARCH_WORKSPACE/ResearchTools/SaSa_Comment_Collection/data/instagram_historical/DPRfaCiDD7n_1792434597094325000.json</x:v>
      </x:c>
      <x:c r="K177" s="6" t="str">
        <x:v>https://www.instagram.com/reel/DPRfaCiDD7n/</x:v>
      </x:c>
      <x:c r="L177" s="6" t="str">
        <x:v>2026-10-19 to 2026-10-20 Hong Kong time</x:v>
      </x:c>
      <x:c r="M177" s="6" t="str">
        <x:v>outside_selected_season</x:v>
      </x:c>
    </x:row>
    <x:row r="178" ht="52" customHeight="1">
      <x:c r="A178" s="6" t="str">
        <x:v>instagram_18110086249590203</x:v>
      </x:c>
      <x:c r="B178" s="6" t="str">
        <x:v>instagram_DPRfaCiDD7n</x:v>
      </x:c>
      <x:c r="C178" s="6" t="str">
        <x:v>Instagram</x:v>
      </x:c>
      <x:c r="D178" s="6" t="str">
        <x:v>instagram_DPRfaCiDD7n_U11</x:v>
      </x:c>
      <x:c r="E178" s="6" t="str">
        <x:v>🔥🔥🔥🔥🔥🔥</x:v>
      </x:c>
      <x:c r="F178" s="6" t="d">
        <x:v>2025-10-31T19:16:23.000Z</x:v>
      </x:c>
      <x:c r="G178" s="6" t="d">
        <x:v>2025-10-31T19:16:23.000Z</x:v>
      </x:c>
      <x:c r="H178" s="6" t="str">
        <x:v>11</x:v>
      </x:c>
      <x:c r="I178" s="6" t="str">
        <x:v>Browser DOM; signup overlay affected evidence</x:v>
      </x:c>
      <x:c r="J178" s="6" t="str">
        <x:v>RESEARCH_WORKSPACE/ResearchTools/SaSa_Comment_Collection/data/instagram_historical/DPRfaCiDD7n_1792434597094325000.json</x:v>
      </x:c>
      <x:c r="K178" s="6" t="str">
        <x:v>https://www.instagram.com/reel/DPRfaCiDD7n/</x:v>
      </x:c>
      <x:c r="L178" s="6" t="str">
        <x:v>2026-10-19 to 2026-10-20 Hong Kong time</x:v>
      </x:c>
      <x:c r="M178" s="6" t="str">
        <x:v>outside_selected_season</x:v>
      </x:c>
    </x:row>
    <x:row r="179" ht="52" customHeight="1">
      <x:c r="A179" s="6" t="str">
        <x:v>instagram_18360857530083720</x:v>
      </x:c>
      <x:c r="B179" s="6" t="str">
        <x:v>instagram_DPRfaCiDD7n</x:v>
      </x:c>
      <x:c r="C179" s="6" t="str">
        <x:v>Instagram</x:v>
      </x:c>
      <x:c r="D179" s="6" t="str">
        <x:v>instagram_DPRfaCiDD7n_U12</x:v>
      </x:c>
      <x:c r="E179" s="6" t="str">
        <x:v>Thats cute but I have like… no makeup 🙈🙈I have mascara? But like 5 more neutral eyeshadow colours. Any tips?</x:v>
      </x:c>
      <x:c r="F179" s="6" t="d">
        <x:v>2025-10-31T15:36:05.000Z</x:v>
      </x:c>
      <x:c r="G179" s="6" t="d">
        <x:v>2025-10-31T15:36:05.000Z</x:v>
      </x:c>
      <x:c r="H179" s="6" t="str">
        <x:v>12</x:v>
      </x:c>
      <x:c r="I179" s="6" t="str">
        <x:v>Browser DOM; signup overlay affected evidence</x:v>
      </x:c>
      <x:c r="J179" s="6" t="str">
        <x:v>RESEARCH_WORKSPACE/ResearchTools/SaSa_Comment_Collection/data/instagram_historical/DPRfaCiDD7n_1792434597094325000.json</x:v>
      </x:c>
      <x:c r="K179" s="6" t="str">
        <x:v>https://www.instagram.com/reel/DPRfaCiDD7n/</x:v>
      </x:c>
      <x:c r="L179" s="6" t="str">
        <x:v>2026-10-19 to 2026-10-20 Hong Kong time</x:v>
      </x:c>
      <x:c r="M179" s="6" t="str">
        <x:v>historical_Sep_Oct</x:v>
      </x:c>
    </x:row>
    <x:row r="180" ht="52" customHeight="1">
      <x:c r="A180" s="6" t="str">
        <x:v>instagram_18118118332529518</x:v>
      </x:c>
      <x:c r="B180" s="6" t="str">
        <x:v>instagram_DPRfaCiDD7n</x:v>
      </x:c>
      <x:c r="C180" s="6" t="str">
        <x:v>Instagram</x:v>
      </x:c>
      <x:c r="D180" s="6" t="str">
        <x:v>instagram_DPRfaCiDD7n_U13</x:v>
      </x:c>
      <x:c r="E180" s="6" t="str">
        <x:v>@susan_prml, @pam_prml</x:v>
      </x:c>
      <x:c r="F180" s="6" t="d">
        <x:v>2025-10-31T15:29:56.000Z</x:v>
      </x:c>
      <x:c r="G180" s="6" t="d">
        <x:v>2025-10-31T15:29:56.000Z</x:v>
      </x:c>
      <x:c r="H180" s="6" t="str">
        <x:v>13</x:v>
      </x:c>
      <x:c r="I180" s="6" t="str">
        <x:v>Browser DOM; signup overlay affected evidence</x:v>
      </x:c>
      <x:c r="J180" s="6" t="str">
        <x:v>RESEARCH_WORKSPACE/ResearchTools/SaSa_Comment_Collection/data/instagram_historical/DPRfaCiDD7n_1792434597094325000.json</x:v>
      </x:c>
      <x:c r="K180" s="6" t="str">
        <x:v>https://www.instagram.com/reel/DPRfaCiDD7n/</x:v>
      </x:c>
      <x:c r="L180" s="6" t="str">
        <x:v>2026-10-19 to 2026-10-20 Hong Kong time</x:v>
      </x:c>
      <x:c r="M180" s="6" t="str">
        <x:v>historical_Sep_Oct</x:v>
      </x:c>
    </x:row>
    <x:row r="181" ht="52" customHeight="1">
      <x:c r="A181" s="6" t="str">
        <x:v>instagram_18088735994671703</x:v>
      </x:c>
      <x:c r="B181" s="6" t="str">
        <x:v>instagram_DA92M5qyQ9H</x:v>
      </x:c>
      <x:c r="C181" s="6" t="str">
        <x:v>Instagram</x:v>
      </x:c>
      <x:c r="D181" s="6" t="str">
        <x:v>instagram_DA92M5qyQ9H_U01</x:v>
      </x:c>
      <x:c r="E181" s="6" t="str">
        <x:v>❤️❤️</x:v>
      </x:c>
      <x:c r="F181" s="6" t="d">
        <x:v>2026-09-27T14:39:46.000Z</x:v>
      </x:c>
      <x:c r="G181" s="6" t="d">
        <x:v>2026-09-27T14:39:46.000Z</x:v>
      </x:c>
      <x:c r="H181" s="6" t="str">
        <x:v>1</x:v>
      </x:c>
      <x:c r="I181" s="6" t="str">
        <x:v>Browser DOM; signup overlay affected evidence</x:v>
      </x:c>
      <x:c r="J181" s="6" t="str">
        <x:v>RESEARCH_WORKSPACE/ResearchTools/SaSa_Comment_Collection/data/instagram_historical/DA92M5qyQ9H_1792434603497584000.json</x:v>
      </x:c>
      <x:c r="K181" s="6" t="str">
        <x:v>https://www.instagram.com/p/DA92M5qyQ9H/</x:v>
      </x:c>
      <x:c r="L181" s="6" t="str">
        <x:v>2026-10-19 to 2026-10-20 Hong Kong time</x:v>
      </x:c>
      <x:c r="M181" s="6" t="str">
        <x:v>2026_extension</x:v>
      </x:c>
    </x:row>
    <x:row r="182" ht="52" customHeight="1">
      <x:c r="A182" s="6" t="str">
        <x:v>instagram_18219302581337991</x:v>
      </x:c>
      <x:c r="B182" s="6" t="str">
        <x:v>instagram_DA92M5qyQ9H</x:v>
      </x:c>
      <x:c r="C182" s="6" t="str">
        <x:v>Instagram</x:v>
      </x:c>
      <x:c r="D182" s="6" t="str">
        <x:v>instagram_DA92M5qyQ9H_U02</x:v>
      </x:c>
      <x:c r="E182" s="6" t="str">
        <x:v>up</x:v>
      </x:c>
      <x:c r="F182" s="6" t="d">
        <x:v>2026-08-31T06:32:47.000Z</x:v>
      </x:c>
      <x:c r="G182" s="6" t="d">
        <x:v>2026-08-31T06:32:47.000Z</x:v>
      </x:c>
      <x:c r="H182" s="6" t="str">
        <x:v>2</x:v>
      </x:c>
      <x:c r="I182" s="6" t="str">
        <x:v>Browser DOM; signup overlay affected evidence</x:v>
      </x:c>
      <x:c r="J182" s="6" t="str">
        <x:v>RESEARCH_WORKSPACE/ResearchTools/SaSa_Comment_Collection/data/instagram_historical/DA92M5qyQ9H_1792434603497584000.json</x:v>
      </x:c>
      <x:c r="K182" s="6" t="str">
        <x:v>https://www.instagram.com/p/DA92M5qyQ9H/</x:v>
      </x:c>
      <x:c r="L182" s="6" t="str">
        <x:v>2026-10-19 to 2026-10-20 Hong Kong time</x:v>
      </x:c>
      <x:c r="M182" s="6" t="str">
        <x:v>outside_selected_season</x:v>
      </x:c>
    </x:row>
    <x:row r="183" ht="52" customHeight="1">
      <x:c r="A183" s="6" t="str">
        <x:v>instagram_18111159106964247</x:v>
      </x:c>
      <x:c r="B183" s="6" t="str">
        <x:v>instagram_DA92M5qyQ9H</x:v>
      </x:c>
      <x:c r="C183" s="6" t="str">
        <x:v>Instagram</x:v>
      </x:c>
      <x:c r="D183" s="6" t="str">
        <x:v>instagram_DA92M5qyQ9H_U03</x:v>
      </x:c>
      <x:c r="E183" s="6" t="str">
        <x:v>KARINA YOU LOOK LIKE ME</x:v>
      </x:c>
      <x:c r="F183" s="6" t="d">
        <x:v>2026-08-28T00:39:36.000Z</x:v>
      </x:c>
      <x:c r="G183" s="6" t="d">
        <x:v>2026-08-28T00:39:36.000Z</x:v>
      </x:c>
      <x:c r="H183" s="6" t="str">
        <x:v>3</x:v>
      </x:c>
      <x:c r="I183" s="6" t="str">
        <x:v>Browser DOM; signup overlay affected evidence</x:v>
      </x:c>
      <x:c r="J183" s="6" t="str">
        <x:v>RESEARCH_WORKSPACE/ResearchTools/SaSa_Comment_Collection/data/instagram_historical/DA92M5qyQ9H_1792434603497584000.json</x:v>
      </x:c>
      <x:c r="K183" s="6" t="str">
        <x:v>https://www.instagram.com/p/DA92M5qyQ9H/</x:v>
      </x:c>
      <x:c r="L183" s="6" t="str">
        <x:v>2026-10-19 to 2026-10-20 Hong Kong time</x:v>
      </x:c>
      <x:c r="M183" s="6" t="str">
        <x:v>outside_selected_season</x:v>
      </x:c>
    </x:row>
    <x:row r="184" ht="52" customHeight="1">
      <x:c r="A184" s="6" t="str">
        <x:v>instagram_18011940962747175</x:v>
      </x:c>
      <x:c r="B184" s="6" t="str">
        <x:v>instagram_DA92M5qyQ9H</x:v>
      </x:c>
      <x:c r="C184" s="6" t="str">
        <x:v>Instagram</x:v>
      </x:c>
      <x:c r="D184" s="6" t="str">
        <x:v>instagram_DA92M5qyQ9H_U04</x:v>
      </x:c>
      <x:c r="E184" s="6" t="str">
        <x:v>언니 좋아해요오~ 이유는… 언니니까!! 🤭💗</x:v>
      </x:c>
      <x:c r="F184" s="6" t="d">
        <x:v>2026-08-24T13:25:39.000Z</x:v>
      </x:c>
      <x:c r="G184" s="6" t="d">
        <x:v>2026-08-24T13:25:39.000Z</x:v>
      </x:c>
      <x:c r="H184" s="6" t="str">
        <x:v>4</x:v>
      </x:c>
      <x:c r="I184" s="6" t="str">
        <x:v>Browser DOM; signup overlay affected evidence</x:v>
      </x:c>
      <x:c r="J184" s="6" t="str">
        <x:v>RESEARCH_WORKSPACE/ResearchTools/SaSa_Comment_Collection/data/instagram_historical/DA92M5qyQ9H_1792434603497584000.json</x:v>
      </x:c>
      <x:c r="K184" s="6" t="str">
        <x:v>https://www.instagram.com/p/DA92M5qyQ9H/</x:v>
      </x:c>
      <x:c r="L184" s="6" t="str">
        <x:v>2026-10-19 to 2026-10-20 Hong Kong time</x:v>
      </x:c>
      <x:c r="M184" s="6" t="str">
        <x:v>outside_selected_season</x:v>
      </x:c>
    </x:row>
    <x:row r="185" ht="52" customHeight="1">
      <x:c r="A185" s="6" t="str">
        <x:v>instagram_17901638148482138</x:v>
      </x:c>
      <x:c r="B185" s="6" t="str">
        <x:v>instagram_DA92M5qyQ9H</x:v>
      </x:c>
      <x:c r="C185" s="6" t="str">
        <x:v>Instagram</x:v>
      </x:c>
      <x:c r="D185" s="6" t="str">
        <x:v>instagram_DA92M5qyQ9H_U05</x:v>
      </x:c>
      <x:c r="E185" s="6" t="str">
        <x:v>up</x:v>
      </x:c>
      <x:c r="F185" s="6" t="d">
        <x:v>2026-08-10T07:16:22.000Z</x:v>
      </x:c>
      <x:c r="G185" s="6" t="d">
        <x:v>2026-08-10T07:16:22.000Z</x:v>
      </x:c>
      <x:c r="H185" s="6" t="str">
        <x:v>5</x:v>
      </x:c>
      <x:c r="I185" s="6" t="str">
        <x:v>Browser DOM; signup overlay affected evidence</x:v>
      </x:c>
      <x:c r="J185" s="6" t="str">
        <x:v>RESEARCH_WORKSPACE/ResearchTools/SaSa_Comment_Collection/data/instagram_historical/DA92M5qyQ9H_1792434603497584000.json</x:v>
      </x:c>
      <x:c r="K185" s="6" t="str">
        <x:v>https://www.instagram.com/p/DA92M5qyQ9H/</x:v>
      </x:c>
      <x:c r="L185" s="6" t="str">
        <x:v>2026-10-19 to 2026-10-20 Hong Kong time</x:v>
      </x:c>
      <x:c r="M185" s="6" t="str">
        <x:v>outside_selected_season</x:v>
      </x:c>
    </x:row>
    <x:row r="186" ht="52" customHeight="1">
      <x:c r="A186" s="6" t="str">
        <x:v>instagram_17972607650923020</x:v>
      </x:c>
      <x:c r="B186" s="6" t="str">
        <x:v>instagram_DA92M5qyQ9H</x:v>
      </x:c>
      <x:c r="C186" s="6" t="str">
        <x:v>Instagram</x:v>
      </x:c>
      <x:c r="D186" s="6" t="str">
        <x:v>instagram_DA92M5qyQ9H_U06</x:v>
      </x:c>
      <x:c r="E186" s="6" t="str">
        <x:v>～</x:v>
      </x:c>
      <x:c r="F186" s="6" t="d">
        <x:v>2026-08-05T09:47:30.000Z</x:v>
      </x:c>
      <x:c r="G186" s="6" t="d">
        <x:v>2026-08-05T09:47:30.000Z</x:v>
      </x:c>
      <x:c r="H186" s="6" t="str">
        <x:v>6</x:v>
      </x:c>
      <x:c r="I186" s="6" t="str">
        <x:v>Browser DOM; signup overlay affected evidence</x:v>
      </x:c>
      <x:c r="J186" s="6" t="str">
        <x:v>RESEARCH_WORKSPACE/ResearchTools/SaSa_Comment_Collection/data/instagram_historical/DA92M5qyQ9H_1792434603497584000.json</x:v>
      </x:c>
      <x:c r="K186" s="6" t="str">
        <x:v>https://www.instagram.com/p/DA92M5qyQ9H/</x:v>
      </x:c>
      <x:c r="L186" s="6" t="str">
        <x:v>2026-10-19 to 2026-10-20 Hong Kong time</x:v>
      </x:c>
      <x:c r="M186" s="6" t="str">
        <x:v>outside_selected_season</x:v>
      </x:c>
    </x:row>
    <x:row r="187" ht="52" customHeight="1">
      <x:c r="A187" s="6" t="str">
        <x:v>instagram_17927272365145582</x:v>
      </x:c>
      <x:c r="B187" s="6" t="str">
        <x:v>instagram_DA92M5qyQ9H</x:v>
      </x:c>
      <x:c r="C187" s="6" t="str">
        <x:v>Instagram</x:v>
      </x:c>
      <x:c r="D187" s="6" t="str">
        <x:v>instagram_DA92M5qyQ9H_U07</x:v>
      </x:c>
      <x:c r="E187" s="6" t="str">
        <x:v>up</x:v>
      </x:c>
      <x:c r="F187" s="6" t="d">
        <x:v>2026-07-30T07:22:01.000Z</x:v>
      </x:c>
      <x:c r="G187" s="6" t="d">
        <x:v>2026-07-30T07:22:01.000Z</x:v>
      </x:c>
      <x:c r="H187" s="6" t="str">
        <x:v>7</x:v>
      </x:c>
      <x:c r="I187" s="6" t="str">
        <x:v>Browser DOM; signup overlay affected evidence</x:v>
      </x:c>
      <x:c r="J187" s="6" t="str">
        <x:v>RESEARCH_WORKSPACE/ResearchTools/SaSa_Comment_Collection/data/instagram_historical/DA92M5qyQ9H_1792434603497584000.json</x:v>
      </x:c>
      <x:c r="K187" s="6" t="str">
        <x:v>https://www.instagram.com/p/DA92M5qyQ9H/</x:v>
      </x:c>
      <x:c r="L187" s="6" t="str">
        <x:v>2026-10-19 to 2026-10-20 Hong Kong time</x:v>
      </x:c>
      <x:c r="M187" s="6" t="str">
        <x:v>outside_selected_season</x:v>
      </x:c>
    </x:row>
    <x:row r="188" ht="52" customHeight="1">
      <x:c r="A188" s="6" t="str">
        <x:v>instagram_18106592240022936</x:v>
      </x:c>
      <x:c r="B188" s="6" t="str">
        <x:v>instagram_DA92M5qyQ9H</x:v>
      </x:c>
      <x:c r="C188" s="6" t="str">
        <x:v>Instagram</x:v>
      </x:c>
      <x:c r="D188" s="6" t="str">
        <x:v>instagram_DA92M5qyQ9H_U08</x:v>
      </x:c>
      <x:c r="E188" s="6" t="str">
        <x:v>美得要命……好喜欢这一套</x:v>
      </x:c>
      <x:c r="F188" s="6" t="d">
        <x:v>2026-07-25T10:15:38.000Z</x:v>
      </x:c>
      <x:c r="G188" s="6" t="d">
        <x:v>2026-07-25T10:15:38.000Z</x:v>
      </x:c>
      <x:c r="H188" s="6" t="str">
        <x:v>8</x:v>
      </x:c>
      <x:c r="I188" s="6" t="str">
        <x:v>Browser DOM; signup overlay affected evidence</x:v>
      </x:c>
      <x:c r="J188" s="6" t="str">
        <x:v>RESEARCH_WORKSPACE/ResearchTools/SaSa_Comment_Collection/data/instagram_historical/DA92M5qyQ9H_1792434603497584000.json</x:v>
      </x:c>
      <x:c r="K188" s="6" t="str">
        <x:v>https://www.instagram.com/p/DA92M5qyQ9H/</x:v>
      </x:c>
      <x:c r="L188" s="6" t="str">
        <x:v>2026-10-19 to 2026-10-20 Hong Kong time</x:v>
      </x:c>
      <x:c r="M188" s="6" t="str">
        <x:v>outside_selected_season</x:v>
      </x:c>
    </x:row>
    <x:row r="189" ht="52" customHeight="1">
      <x:c r="A189" s="6" t="str">
        <x:v>instagram_18208472998358577</x:v>
      </x:c>
      <x:c r="B189" s="6" t="str">
        <x:v>instagram_DA92M5qyQ9H</x:v>
      </x:c>
      <x:c r="C189" s="6" t="str">
        <x:v>Instagram</x:v>
      </x:c>
      <x:c r="D189" s="6" t="str">
        <x:v>instagram_DA92M5qyQ9H_U09</x:v>
      </x:c>
      <x:c r="E189" s="6" t="str">
        <x:v>Welcome to the Kaiverse</x:v>
      </x:c>
      <x:c r="F189" s="6" t="d">
        <x:v>2026-07-11T00:38:07.000Z</x:v>
      </x:c>
      <x:c r="G189" s="6" t="d">
        <x:v>2026-07-11T00:38:07.000Z</x:v>
      </x:c>
      <x:c r="H189" s="6" t="str">
        <x:v>9</x:v>
      </x:c>
      <x:c r="I189" s="6" t="str">
        <x:v>Browser DOM; signup overlay affected evidence</x:v>
      </x:c>
      <x:c r="J189" s="6" t="str">
        <x:v>RESEARCH_WORKSPACE/ResearchTools/SaSa_Comment_Collection/data/instagram_historical/DA92M5qyQ9H_1792434603497584000.json</x:v>
      </x:c>
      <x:c r="K189" s="6" t="str">
        <x:v>https://www.instagram.com/p/DA92M5qyQ9H/</x:v>
      </x:c>
      <x:c r="L189" s="6" t="str">
        <x:v>2026-10-19 to 2026-10-20 Hong Kong time</x:v>
      </x:c>
      <x:c r="M189" s="6" t="str">
        <x:v>outside_selected_season</x:v>
      </x:c>
    </x:row>
    <x:row r="190" ht="52" customHeight="1">
      <x:c r="A190" s="6" t="str">
        <x:v>instagram_18070448135660949</x:v>
      </x:c>
      <x:c r="B190" s="6" t="str">
        <x:v>instagram_DA92M5qyQ9H</x:v>
      </x:c>
      <x:c r="C190" s="6" t="str">
        <x:v>Instagram</x:v>
      </x:c>
      <x:c r="D190" s="6" t="str">
        <x:v>instagram_DA92M5qyQ9H_U10</x:v>
      </x:c>
      <x:c r="E190" s="6" t="str">
        <x:v>😍😍😍</x:v>
      </x:c>
      <x:c r="F190" s="6" t="d">
        <x:v>2026-05-11T15:47:21.000Z</x:v>
      </x:c>
      <x:c r="G190" s="6" t="d">
        <x:v>2026-05-11T15:47:21.000Z</x:v>
      </x:c>
      <x:c r="H190" s="6" t="str">
        <x:v>10</x:v>
      </x:c>
      <x:c r="I190" s="6" t="str">
        <x:v>Browser DOM; signup overlay affected evidence</x:v>
      </x:c>
      <x:c r="J190" s="6" t="str">
        <x:v>RESEARCH_WORKSPACE/ResearchTools/SaSa_Comment_Collection/data/instagram_historical/DA92M5qyQ9H_1792434603497584000.json</x:v>
      </x:c>
      <x:c r="K190" s="6" t="str">
        <x:v>https://www.instagram.com/p/DA92M5qyQ9H/</x:v>
      </x:c>
      <x:c r="L190" s="6" t="str">
        <x:v>2026-10-19 to 2026-10-20 Hong Kong time</x:v>
      </x:c>
      <x:c r="M190" s="6" t="str">
        <x:v>outside_selected_season</x:v>
      </x:c>
    </x:row>
    <x:row r="191" ht="52" customHeight="1">
      <x:c r="A191" s="6" t="str">
        <x:v>instagram_17919760464320052</x:v>
      </x:c>
      <x:c r="B191" s="6" t="str">
        <x:v>instagram_DA92M5qyQ9H</x:v>
      </x:c>
      <x:c r="C191" s="6" t="str">
        <x:v>Instagram</x:v>
      </x:c>
      <x:c r="D191" s="6" t="str">
        <x:v>instagram_DA92M5qyQ9H_U11</x:v>
      </x:c>
      <x:c r="E191" s="6" t="str">
        <x:v>up!</x:v>
      </x:c>
      <x:c r="F191" s="6" t="d">
        <x:v>2026-04-06T00:52:26.000Z</x:v>
      </x:c>
      <x:c r="G191" s="6" t="d">
        <x:v>2026-04-06T00:52:26.000Z</x:v>
      </x:c>
      <x:c r="H191" s="6" t="str">
        <x:v>11</x:v>
      </x:c>
      <x:c r="I191" s="6" t="str">
        <x:v>Browser DOM; signup overlay affected evidence</x:v>
      </x:c>
      <x:c r="J191" s="6" t="str">
        <x:v>RESEARCH_WORKSPACE/ResearchTools/SaSa_Comment_Collection/data/instagram_historical/DA92M5qyQ9H_1792434603497584000.json</x:v>
      </x:c>
      <x:c r="K191" s="6" t="str">
        <x:v>https://www.instagram.com/p/DA92M5qyQ9H/</x:v>
      </x:c>
      <x:c r="L191" s="6" t="str">
        <x:v>2026-10-19 to 2026-10-20 Hong Kong time</x:v>
      </x:c>
      <x:c r="M191" s="6" t="str">
        <x:v>outside_selected_season</x:v>
      </x:c>
    </x:row>
    <x:row r="192" ht="52" customHeight="1">
      <x:c r="A192" s="6" t="str">
        <x:v>instagram_18050757899528177</x:v>
      </x:c>
      <x:c r="B192" s="6" t="str">
        <x:v>instagram_DA92M5qyQ9H</x:v>
      </x:c>
      <x:c r="C192" s="6" t="str">
        <x:v>Instagram</x:v>
      </x:c>
      <x:c r="D192" s="6" t="str">
        <x:v>instagram_DA92M5qyQ9H_U12</x:v>
      </x:c>
      <x:c r="E192" s="6" t="str">
        <x:v>언니, 저 좀 때려주세요 (하하하 농담이에요)</x:v>
      </x:c>
      <x:c r="F192" s="6" t="d">
        <x:v>2026-04-01T14:35:25.000Z</x:v>
      </x:c>
      <x:c r="G192" s="6" t="d">
        <x:v>2026-04-01T14:35:25.000Z</x:v>
      </x:c>
      <x:c r="H192" s="6" t="str">
        <x:v>12</x:v>
      </x:c>
      <x:c r="I192" s="6" t="str">
        <x:v>Browser DOM; signup overlay affected evidence</x:v>
      </x:c>
      <x:c r="J192" s="6" t="str">
        <x:v>RESEARCH_WORKSPACE/ResearchTools/SaSa_Comment_Collection/data/instagram_historical/DA92M5qyQ9H_1792434603497584000.json</x:v>
      </x:c>
      <x:c r="K192" s="6" t="str">
        <x:v>https://www.instagram.com/p/DA92M5qyQ9H/</x:v>
      </x:c>
      <x:c r="L192" s="6" t="str">
        <x:v>2026-10-19 to 2026-10-20 Hong Kong time</x:v>
      </x:c>
      <x:c r="M192" s="6" t="str">
        <x:v>outside_selected_season</x:v>
      </x:c>
    </x:row>
    <x:row r="193" ht="52" customHeight="1">
      <x:c r="A193" s="6" t="str">
        <x:v>instagram_17983900493978026</x:v>
      </x:c>
      <x:c r="B193" s="6" t="str">
        <x:v>instagram_DA92M5qyQ9H</x:v>
      </x:c>
      <x:c r="C193" s="6" t="str">
        <x:v>Instagram</x:v>
      </x:c>
      <x:c r="D193" s="6" t="str">
        <x:v>instagram_DA92M5qyQ9H_U13</x:v>
      </x:c>
      <x:c r="E193" s="6" t="str">
        <x:v>💜</x:v>
      </x:c>
      <x:c r="F193" s="6" t="d">
        <x:v>2026-03-24T01:35:53.000Z</x:v>
      </x:c>
      <x:c r="G193" s="6" t="d">
        <x:v>2026-03-24T01:35:53.000Z</x:v>
      </x:c>
      <x:c r="H193" s="6" t="str">
        <x:v>13</x:v>
      </x:c>
      <x:c r="I193" s="6" t="str">
        <x:v>Browser DOM; signup overlay affected evidence</x:v>
      </x:c>
      <x:c r="J193" s="6" t="str">
        <x:v>RESEARCH_WORKSPACE/ResearchTools/SaSa_Comment_Collection/data/instagram_historical/DA92M5qyQ9H_1792434603497584000.json</x:v>
      </x:c>
      <x:c r="K193" s="6" t="str">
        <x:v>https://www.instagram.com/p/DA92M5qyQ9H/</x:v>
      </x:c>
      <x:c r="L193" s="6" t="str">
        <x:v>2026-10-19 to 2026-10-20 Hong Kong time</x:v>
      </x:c>
      <x:c r="M193" s="6" t="str">
        <x:v>outside_selected_season</x:v>
      </x:c>
    </x:row>
    <x:row r="194" ht="52" customHeight="1">
      <x:c r="A194" s="6" t="str">
        <x:v>instagram_17951293373960686</x:v>
      </x:c>
      <x:c r="B194" s="6" t="str">
        <x:v>instagram_DA92M5qyQ9H</x:v>
      </x:c>
      <x:c r="C194" s="6" t="str">
        <x:v>Instagram</x:v>
      </x:c>
      <x:c r="D194" s="6" t="str">
        <x:v>instagram_DA92M5qyQ9H_U13</x:v>
      </x:c>
      <x:c r="E194" s="6" t="str">
        <x:v>💜</x:v>
      </x:c>
      <x:c r="F194" s="6" t="d">
        <x:v>2026-03-24T01:35:53.000Z</x:v>
      </x:c>
      <x:c r="G194" s="6" t="d">
        <x:v>2026-03-24T01:35:53.000Z</x:v>
      </x:c>
      <x:c r="H194" s="6" t="str">
        <x:v>14</x:v>
      </x:c>
      <x:c r="I194" s="6" t="str">
        <x:v>Browser DOM; signup overlay affected evidence</x:v>
      </x:c>
      <x:c r="J194" s="6" t="str">
        <x:v>RESEARCH_WORKSPACE/ResearchTools/SaSa_Comment_Collection/data/instagram_historical/DA92M5qyQ9H_1792434603497584000.json</x:v>
      </x:c>
      <x:c r="K194" s="6" t="str">
        <x:v>https://www.instagram.com/p/DA92M5qyQ9H/</x:v>
      </x:c>
      <x:c r="L194" s="6" t="str">
        <x:v>2026-10-19 to 2026-10-20 Hong Kong time</x:v>
      </x:c>
      <x:c r="M194" s="6" t="str">
        <x:v>outside_selected_season</x:v>
      </x:c>
    </x:row>
    <x:row r="195" ht="52" customHeight="1">
      <x:c r="A195" s="6" t="str">
        <x:v>instagram_17850794922680975</x:v>
      </x:c>
      <x:c r="B195" s="6" t="str">
        <x:v>instagram_DA92M5qyQ9H</x:v>
      </x:c>
      <x:c r="C195" s="6" t="str">
        <x:v>Instagram</x:v>
      </x:c>
      <x:c r="D195" s="6" t="str">
        <x:v>instagram_DA92M5qyQ9H_U14</x:v>
      </x:c>
      <x:c r="E195" s="6" t="str">
        <x:v>멋지다</x:v>
      </x:c>
      <x:c r="F195" s="6" t="d">
        <x:v>2026-02-20T11:45:35.000Z</x:v>
      </x:c>
      <x:c r="G195" s="6" t="d">
        <x:v>2026-02-20T11:45:35.000Z</x:v>
      </x:c>
      <x:c r="H195" s="6" t="str">
        <x:v>15</x:v>
      </x:c>
      <x:c r="I195" s="6" t="str">
        <x:v>Browser DOM; signup overlay affected evidence</x:v>
      </x:c>
      <x:c r="J195" s="6" t="str">
        <x:v>RESEARCH_WORKSPACE/ResearchTools/SaSa_Comment_Collection/data/instagram_historical/DA92M5qyQ9H_1792434603497584000.json</x:v>
      </x:c>
      <x:c r="K195" s="6" t="str">
        <x:v>https://www.instagram.com/p/DA92M5qyQ9H/</x:v>
      </x:c>
      <x:c r="L195" s="6" t="str">
        <x:v>2026-10-19 to 2026-10-20 Hong Kong time</x:v>
      </x:c>
      <x:c r="M195" s="6" t="str">
        <x:v>outside_selected_season</x:v>
      </x:c>
    </x:row>
    <x:row r="196" ht="52" customHeight="1">
      <x:c r="A196" s="6" t="str">
        <x:v>instagram_18370541827128416</x:v>
      </x:c>
      <x:c r="B196" s="6" t="str">
        <x:v>instagram_DAlrf28Njbf</x:v>
      </x:c>
      <x:c r="C196" s="6" t="str">
        <x:v>Instagram</x:v>
      </x:c>
      <x:c r="D196" s="6" t="str">
        <x:v>DAlrf28Njbf_U01</x:v>
      </x:c>
      <x:c r="E196" s="6" t="str">
        <x:v>👍👍👍👍👍</x:v>
      </x:c>
      <x:c r="F196" s="6" t="str">
        <x:v>102 w</x:v>
      </x:c>
      <x:c r="G196" s="6" t="d">
        <x:v>2024-11-02T06:21:49.000Z</x:v>
      </x:c>
      <x:c r="H196" s="6" t="n">
        <x:v>1</x:v>
      </x:c>
      <x:c r="I196" s="6" t="str">
        <x:v>Visible browser DOM extraction; no comment API</x:v>
      </x:c>
      <x:c r="J196" s="6" t="str">
        <x:v>RESEARCH_WORKSPACE/ResearchTools/SaSa_Comment_Collection/data/instagram_gap_batch/DAlrf28Njbf_1792435137654821000.json</x:v>
      </x:c>
      <x:c r="K196" s="6" t="str">
        <x:v>https://www.instagram.com/reel/DAlrf28Njbf/</x:v>
      </x:c>
      <x:c r="L196" s="6" t="str">
        <x:v>2026-10-19 to 2026-10-20 Hong Kong time</x:v>
      </x:c>
      <x:c r="M196" s="6" t="str">
        <x:v>2024_2026_revised_scope</x:v>
      </x:c>
    </x:row>
    <x:row r="197" ht="52" customHeight="1">
      <x:c r="A197" s="6" t="str">
        <x:v>instagram_18029746838521666</x:v>
      </x:c>
      <x:c r="B197" s="6" t="str">
        <x:v>instagram_DAlrf28Njbf</x:v>
      </x:c>
      <x:c r="C197" s="6" t="str">
        <x:v>Instagram</x:v>
      </x:c>
      <x:c r="D197" s="6" t="str">
        <x:v>DAlrf28Njbf_U02</x:v>
      </x:c>
      <x:c r="E197" s="6" t="str">
        <x:v>Wow😍</x:v>
      </x:c>
      <x:c r="F197" s="6" t="str">
        <x:v>103 w</x:v>
      </x:c>
      <x:c r="G197" s="6" t="d">
        <x:v>2024-10-28T15:39:44.000Z</x:v>
      </x:c>
      <x:c r="H197" s="6" t="n">
        <x:v>2</x:v>
      </x:c>
      <x:c r="I197" s="6" t="str">
        <x:v>Visible browser DOM extraction; no comment API</x:v>
      </x:c>
      <x:c r="J197" s="6" t="str">
        <x:v>RESEARCH_WORKSPACE/ResearchTools/SaSa_Comment_Collection/data/instagram_gap_batch/DAlrf28Njbf_1792435137654821000.json</x:v>
      </x:c>
      <x:c r="K197" s="6" t="str">
        <x:v>https://www.instagram.com/reel/DAlrf28Njbf/</x:v>
      </x:c>
      <x:c r="L197" s="6" t="str">
        <x:v>2026-10-19 to 2026-10-20 Hong Kong time</x:v>
      </x:c>
      <x:c r="M197" s="6" t="str">
        <x:v>2024_2026_revised_scope</x:v>
      </x:c>
    </x:row>
    <x:row r="198" ht="52" customHeight="1">
      <x:c r="A198" s="6" t="str">
        <x:v>instagram_18070697716613996</x:v>
      </x:c>
      <x:c r="B198" s="6" t="str">
        <x:v>instagram_DAlrf28Njbf</x:v>
      </x:c>
      <x:c r="C198" s="6" t="str">
        <x:v>Instagram</x:v>
      </x:c>
      <x:c r="D198" s="6" t="str">
        <x:v>DAlrf28Njbf_U03</x:v>
      </x:c>
      <x:c r="E198" s="6" t="str">
        <x:v>Wow 🔥🕷️🕸️</x:v>
      </x:c>
      <x:c r="F198" s="6" t="str">
        <x:v>103 w</x:v>
      </x:c>
      <x:c r="G198" s="6" t="d">
        <x:v>2024-10-23T08:06:14.000Z</x:v>
      </x:c>
      <x:c r="H198" s="6" t="n">
        <x:v>3</x:v>
      </x:c>
      <x:c r="I198" s="6" t="str">
        <x:v>Visible browser DOM extraction; no comment API</x:v>
      </x:c>
      <x:c r="J198" s="6" t="str">
        <x:v>RESEARCH_WORKSPACE/ResearchTools/SaSa_Comment_Collection/data/instagram_gap_batch/DAlrf28Njbf_1792435137654821000.json</x:v>
      </x:c>
      <x:c r="K198" s="6" t="str">
        <x:v>https://www.instagram.com/reel/DAlrf28Njbf/</x:v>
      </x:c>
      <x:c r="L198" s="6" t="str">
        <x:v>2026-10-19 to 2026-10-20 Hong Kong time</x:v>
      </x:c>
      <x:c r="M198" s="6" t="str">
        <x:v>2024_2026_revised_scope</x:v>
      </x:c>
    </x:row>
    <x:row r="199" ht="52" customHeight="1">
      <x:c r="A199" s="6" t="str">
        <x:v>instagram_18040790807112565</x:v>
      </x:c>
      <x:c r="B199" s="6" t="str">
        <x:v>instagram_DAlrf28Njbf</x:v>
      </x:c>
      <x:c r="C199" s="6" t="str">
        <x:v>Instagram</x:v>
      </x:c>
      <x:c r="D199" s="6" t="str">
        <x:v>DAlrf28Njbf_U04</x:v>
      </x:c>
      <x:c r="E199" s="6" t="str">
        <x:v>Love it 👏</x:v>
      </x:c>
      <x:c r="F199" s="6" t="str">
        <x:v>106 w</x:v>
      </x:c>
      <x:c r="G199" s="6" t="d">
        <x:v>2024-10-01T20:22:04.000Z</x:v>
      </x:c>
      <x:c r="H199" s="6" t="n">
        <x:v>4</x:v>
      </x:c>
      <x:c r="I199" s="6" t="str">
        <x:v>Visible browser DOM extraction; no comment API</x:v>
      </x:c>
      <x:c r="J199" s="6" t="str">
        <x:v>RESEARCH_WORKSPACE/ResearchTools/SaSa_Comment_Collection/data/instagram_gap_batch/DAlrf28Njbf_1792435137654821000.json</x:v>
      </x:c>
      <x:c r="K199" s="6" t="str">
        <x:v>https://www.instagram.com/reel/DAlrf28Njbf/</x:v>
      </x:c>
      <x:c r="L199" s="6" t="str">
        <x:v>2026-10-19 to 2026-10-20 Hong Kong time</x:v>
      </x:c>
      <x:c r="M199" s="6" t="str">
        <x:v>2024_2026_revised_scope</x:v>
      </x:c>
    </x:row>
    <x:row r="200" ht="52" customHeight="1">
      <x:c r="A200" s="6" t="str">
        <x:v>instagram_17859962589252910</x:v>
      </x:c>
      <x:c r="B200" s="6" t="str">
        <x:v>instagram_DAlrf28Njbf</x:v>
      </x:c>
      <x:c r="C200" s="6" t="str">
        <x:v>Instagram</x:v>
      </x:c>
      <x:c r="D200" s="6" t="str">
        <x:v>DAlrf28Njbf_U05</x:v>
      </x:c>
      <x:c r="E200" s="6" t="str">
        <x:v>Love!</x:v>
      </x:c>
      <x:c r="F200" s="6" t="str">
        <x:v>106 w</x:v>
      </x:c>
      <x:c r="G200" s="6" t="d">
        <x:v>2024-10-01T19:20:28.000Z</x:v>
      </x:c>
      <x:c r="H200" s="6" t="n">
        <x:v>5</x:v>
      </x:c>
      <x:c r="I200" s="6" t="str">
        <x:v>Visible browser DOM extraction; no comment API</x:v>
      </x:c>
      <x:c r="J200" s="6" t="str">
        <x:v>RESEARCH_WORKSPACE/ResearchTools/SaSa_Comment_Collection/data/instagram_gap_batch/DAlrf28Njbf_1792435137654821000.json</x:v>
      </x:c>
      <x:c r="K200" s="6" t="str">
        <x:v>https://www.instagram.com/reel/DAlrf28Njbf/</x:v>
      </x:c>
      <x:c r="L200" s="6" t="str">
        <x:v>2026-10-19 to 2026-10-20 Hong Kong time</x:v>
      </x:c>
      <x:c r="M200" s="6" t="str">
        <x:v>2024_2026_revised_scope</x:v>
      </x:c>
    </x:row>
    <x:row r="201" ht="52" customHeight="1">
      <x:c r="A201" s="6" t="str">
        <x:v>instagram_17944049162857280</x:v>
      </x:c>
      <x:c r="B201" s="6" t="str">
        <x:v>instagram_DAlrf28Njbf</x:v>
      </x:c>
      <x:c r="C201" s="6" t="str">
        <x:v>Instagram</x:v>
      </x:c>
      <x:c r="D201" s="6" t="str">
        <x:v>DAlrf28Njbf_U06</x:v>
      </x:c>
      <x:c r="E201" s="6" t="str">
        <x:v>My beautiful Queen 👸🏽love you ♥️😭</x:v>
      </x:c>
      <x:c r="F201" s="6" t="str">
        <x:v>106 w</x:v>
      </x:c>
      <x:c r="G201" s="6" t="d">
        <x:v>2024-10-01T18:30:32.000Z</x:v>
      </x:c>
      <x:c r="H201" s="6" t="n">
        <x:v>6</x:v>
      </x:c>
      <x:c r="I201" s="6" t="str">
        <x:v>Visible browser DOM extraction; no comment API</x:v>
      </x:c>
      <x:c r="J201" s="6" t="str">
        <x:v>RESEARCH_WORKSPACE/ResearchTools/SaSa_Comment_Collection/data/instagram_gap_batch/DAlrf28Njbf_1792435137654821000.json</x:v>
      </x:c>
      <x:c r="K201" s="6" t="str">
        <x:v>https://www.instagram.com/reel/DAlrf28Njbf/</x:v>
      </x:c>
      <x:c r="L201" s="6" t="str">
        <x:v>2026-10-19 to 2026-10-20 Hong Kong time</x:v>
      </x:c>
      <x:c r="M201" s="6" t="str">
        <x:v>2024_2026_revised_scope</x:v>
      </x:c>
    </x:row>
    <x:row r="202" ht="52" customHeight="1">
      <x:c r="A202" s="6" t="str">
        <x:v>instagram_18033061979210245</x:v>
      </x:c>
      <x:c r="B202" s="6" t="str">
        <x:v>instagram_DAlrf28Njbf</x:v>
      </x:c>
      <x:c r="C202" s="6" t="str">
        <x:v>Instagram</x:v>
      </x:c>
      <x:c r="D202" s="6" t="str">
        <x:v>DAlrf28Njbf_U07</x:v>
      </x:c>
      <x:c r="E202" s="6" t="str">
        <x:v>Wow incredible! 😍</x:v>
      </x:c>
      <x:c r="F202" s="6" t="str">
        <x:v>106 w</x:v>
      </x:c>
      <x:c r="G202" s="6" t="d">
        <x:v>2024-10-01T18:16:05.000Z</x:v>
      </x:c>
      <x:c r="H202" s="6" t="n">
        <x:v>7</x:v>
      </x:c>
      <x:c r="I202" s="6" t="str">
        <x:v>Visible browser DOM extraction; no comment API</x:v>
      </x:c>
      <x:c r="J202" s="6" t="str">
        <x:v>RESEARCH_WORKSPACE/ResearchTools/SaSa_Comment_Collection/data/instagram_gap_batch/DAlrf28Njbf_1792435137654821000.json</x:v>
      </x:c>
      <x:c r="K202" s="6" t="str">
        <x:v>https://www.instagram.com/reel/DAlrf28Njbf/</x:v>
      </x:c>
      <x:c r="L202" s="6" t="str">
        <x:v>2026-10-19 to 2026-10-20 Hong Kong time</x:v>
      </x:c>
      <x:c r="M202" s="6" t="str">
        <x:v>2024_2026_revised_scope</x:v>
      </x:c>
    </x:row>
    <x:row r="203" ht="52" customHeight="1">
      <x:c r="A203" s="6" t="str">
        <x:v>instagram_18007645550442667</x:v>
      </x:c>
      <x:c r="B203" s="6" t="str">
        <x:v>instagram_DAlrf28Njbf</x:v>
      </x:c>
      <x:c r="C203" s="6" t="str">
        <x:v>Instagram</x:v>
      </x:c>
      <x:c r="D203" s="6" t="str">
        <x:v>DAlrf28Njbf_U08</x:v>
      </x:c>
      <x:c r="E203" s="6" t="str">
        <x:v>She’s back! It must be October! 😂</x:v>
      </x:c>
      <x:c r="F203" s="6" t="str">
        <x:v>106 w</x:v>
      </x:c>
      <x:c r="G203" s="6" t="d">
        <x:v>2024-10-01T18:01:33.000Z</x:v>
      </x:c>
      <x:c r="H203" s="6" t="n">
        <x:v>8</x:v>
      </x:c>
      <x:c r="I203" s="6" t="str">
        <x:v>Visible browser DOM extraction; no comment API</x:v>
      </x:c>
      <x:c r="J203" s="6" t="str">
        <x:v>RESEARCH_WORKSPACE/ResearchTools/SaSa_Comment_Collection/data/instagram_gap_batch/DAlrf28Njbf_1792435137654821000.json</x:v>
      </x:c>
      <x:c r="K203" s="6" t="str">
        <x:v>https://www.instagram.com/reel/DAlrf28Njbf/</x:v>
      </x:c>
      <x:c r="L203" s="6" t="str">
        <x:v>2026-10-19 to 2026-10-20 Hong Kong time</x:v>
      </x:c>
      <x:c r="M203" s="6" t="str">
        <x:v>2024_2026_revised_scope</x:v>
      </x:c>
    </x:row>
    <x:row r="204" ht="52" customHeight="1">
      <x:c r="A204" s="6" t="str">
        <x:v>instagram_18338937373120371</x:v>
      </x:c>
      <x:c r="B204" s="6" t="str">
        <x:v>instagram_DAlrf28Njbf</x:v>
      </x:c>
      <x:c r="C204" s="6" t="str">
        <x:v>Instagram</x:v>
      </x:c>
      <x:c r="D204" s="6" t="str">
        <x:v>DAlrf28Njbf_U09</x:v>
      </x:c>
      <x:c r="E204" s="6" t="str">
        <x:v>Oh I loveeee this 😍</x:v>
      </x:c>
      <x:c r="F204" s="6" t="str">
        <x:v>106 w</x:v>
      </x:c>
      <x:c r="G204" s="6" t="d">
        <x:v>2024-10-01T17:50:55.000Z</x:v>
      </x:c>
      <x:c r="H204" s="6" t="n">
        <x:v>9</x:v>
      </x:c>
      <x:c r="I204" s="6" t="str">
        <x:v>Visible browser DOM extraction; no comment API</x:v>
      </x:c>
      <x:c r="J204" s="6" t="str">
        <x:v>RESEARCH_WORKSPACE/ResearchTools/SaSa_Comment_Collection/data/instagram_gap_batch/DAlrf28Njbf_1792435137654821000.json</x:v>
      </x:c>
      <x:c r="K204" s="6" t="str">
        <x:v>https://www.instagram.com/reel/DAlrf28Njbf/</x:v>
      </x:c>
      <x:c r="L204" s="6" t="str">
        <x:v>2026-10-19 to 2026-10-20 Hong Kong time</x:v>
      </x:c>
      <x:c r="M204" s="6" t="str">
        <x:v>2024_2026_revised_scope</x:v>
      </x:c>
    </x:row>
    <x:row r="205" ht="52" customHeight="1">
      <x:c r="A205" s="6" t="str">
        <x:v>instagram_18460286029022075</x:v>
      </x:c>
      <x:c r="B205" s="6" t="str">
        <x:v>instagram_DAlrf28Njbf</x:v>
      </x:c>
      <x:c r="C205" s="6" t="str">
        <x:v>Instagram</x:v>
      </x:c>
      <x:c r="D205" s="6" t="str">
        <x:v>DAlrf28Njbf_U10</x:v>
      </x:c>
      <x:c r="E205" s="6" t="str">
        <x:v>SOOOO TALENTED 😍</x:v>
      </x:c>
      <x:c r="F205" s="6" t="str">
        <x:v>106 w</x:v>
      </x:c>
      <x:c r="G205" s="6" t="d">
        <x:v>2024-10-01T17:26:16.000Z</x:v>
      </x:c>
      <x:c r="H205" s="6" t="n">
        <x:v>10</x:v>
      </x:c>
      <x:c r="I205" s="6" t="str">
        <x:v>Visible browser DOM extraction; no comment API</x:v>
      </x:c>
      <x:c r="J205" s="6" t="str">
        <x:v>RESEARCH_WORKSPACE/ResearchTools/SaSa_Comment_Collection/data/instagram_gap_batch/DAlrf28Njbf_1792435137654821000.json</x:v>
      </x:c>
      <x:c r="K205" s="6" t="str">
        <x:v>https://www.instagram.com/reel/DAlrf28Njbf/</x:v>
      </x:c>
      <x:c r="L205" s="6" t="str">
        <x:v>2026-10-19 to 2026-10-20 Hong Kong time</x:v>
      </x:c>
      <x:c r="M205" s="6" t="str">
        <x:v>2024_2026_revised_scope</x:v>
      </x:c>
    </x:row>
    <x:row r="206" ht="52" customHeight="1">
      <x:c r="A206" s="6" t="str">
        <x:v>instagram_17861602326247808</x:v>
      </x:c>
      <x:c r="B206" s="6" t="str">
        <x:v>instagram_DAlrf28Njbf</x:v>
      </x:c>
      <x:c r="C206" s="6" t="str">
        <x:v>Instagram</x:v>
      </x:c>
      <x:c r="D206" s="6" t="str">
        <x:v>DAlrf28Njbf_U11</x:v>
      </x:c>
      <x:c r="E206" s="6" t="str">
        <x:v>Insane 🔥</x:v>
      </x:c>
      <x:c r="F206" s="6" t="str">
        <x:v>106 w</x:v>
      </x:c>
      <x:c r="G206" s="6" t="d">
        <x:v>2024-10-01T17:21:00.000Z</x:v>
      </x:c>
      <x:c r="H206" s="6" t="n">
        <x:v>11</x:v>
      </x:c>
      <x:c r="I206" s="6" t="str">
        <x:v>Visible browser DOM extraction; no comment API</x:v>
      </x:c>
      <x:c r="J206" s="6" t="str">
        <x:v>RESEARCH_WORKSPACE/ResearchTools/SaSa_Comment_Collection/data/instagram_gap_batch/DAlrf28Njbf_1792435137654821000.json</x:v>
      </x:c>
      <x:c r="K206" s="6" t="str">
        <x:v>https://www.instagram.com/reel/DAlrf28Njbf/</x:v>
      </x:c>
      <x:c r="L206" s="6" t="str">
        <x:v>2026-10-19 to 2026-10-20 Hong Kong time</x:v>
      </x:c>
      <x:c r="M206" s="6" t="str">
        <x:v>2024_2026_revised_scope</x:v>
      </x:c>
    </x:row>
    <x:row r="207" ht="52" customHeight="1">
      <x:c r="A207" s="6" t="str">
        <x:v>instagram_17844510324321695</x:v>
      </x:c>
      <x:c r="B207" s="6" t="str">
        <x:v>instagram_DAlrf28Njbf</x:v>
      </x:c>
      <x:c r="C207" s="6" t="str">
        <x:v>Instagram</x:v>
      </x:c>
      <x:c r="D207" s="6" t="str">
        <x:v>DAlrf28Njbf_U12</x:v>
      </x:c>
      <x:c r="E207" s="6" t="str">
        <x:v>Loooove</x:v>
      </x:c>
      <x:c r="F207" s="6" t="str">
        <x:v>106 w</x:v>
      </x:c>
      <x:c r="G207" s="6" t="d">
        <x:v>2024-10-01T17:13:26.000Z</x:v>
      </x:c>
      <x:c r="H207" s="6" t="n">
        <x:v>12</x:v>
      </x:c>
      <x:c r="I207" s="6" t="str">
        <x:v>Visible browser DOM extraction; no comment API</x:v>
      </x:c>
      <x:c r="J207" s="6" t="str">
        <x:v>RESEARCH_WORKSPACE/ResearchTools/SaSa_Comment_Collection/data/instagram_gap_batch/DAlrf28Njbf_1792435137654821000.json</x:v>
      </x:c>
      <x:c r="K207" s="6" t="str">
        <x:v>https://www.instagram.com/reel/DAlrf28Njbf/</x:v>
      </x:c>
      <x:c r="L207" s="6" t="str">
        <x:v>2026-10-19 to 2026-10-20 Hong Kong time</x:v>
      </x:c>
      <x:c r="M207" s="6" t="str">
        <x:v>2024_2026_revised_scope</x:v>
      </x:c>
    </x:row>
    <x:row r="208" ht="52" customHeight="1">
      <x:c r="A208" s="6" t="str">
        <x:v>instagram_17880791703090254</x:v>
      </x:c>
      <x:c r="B208" s="6" t="str">
        <x:v>instagram_DBCK7wjpZKe</x:v>
      </x:c>
      <x:c r="C208" s="6" t="str">
        <x:v>Instagram</x:v>
      </x:c>
      <x:c r="D208" s="6" t="str">
        <x:v>DBCK7wjpZKe_U01</x:v>
      </x:c>
      <x:c r="E208" s="6" t="str">
        <x:v>Que caneta é essa?</x:v>
      </x:c>
      <x:c r="F208" s="6" t="str">
        <x:v>102 w</x:v>
      </x:c>
      <x:c r="G208" s="6" t="d">
        <x:v>2024-11-04T13:07:14.000Z</x:v>
      </x:c>
      <x:c r="H208" s="6" t="n">
        <x:v>1</x:v>
      </x:c>
      <x:c r="I208" s="6" t="str">
        <x:v>Visible browser DOM extraction; no comment API</x:v>
      </x:c>
      <x:c r="J208" s="6" t="str">
        <x:v>RESEARCH_WORKSPACE/ResearchTools/SaSa_Comment_Collection/data/instagram_gap_batch/DBCK7wjpZKe_1792435065707736000.json</x:v>
      </x:c>
      <x:c r="K208" s="6" t="str">
        <x:v>https://www.instagram.com/reel/DBCK7wjpZKe/</x:v>
      </x:c>
      <x:c r="L208" s="6" t="str">
        <x:v>2026-10-19 to 2026-10-20 Hong Kong time</x:v>
      </x:c>
      <x:c r="M208" s="6" t="str">
        <x:v>2024_2026_revised_scope</x:v>
      </x:c>
    </x:row>
    <x:row r="209" ht="52" customHeight="1">
      <x:c r="A209" s="6" t="str">
        <x:v>instagram_18061666540805382</x:v>
      </x:c>
      <x:c r="B209" s="6" t="str">
        <x:v>instagram_DBCK7wjpZKe</x:v>
      </x:c>
      <x:c r="C209" s="6" t="str">
        <x:v>Instagram</x:v>
      </x:c>
      <x:c r="D209" s="6" t="str">
        <x:v>DBCK7wjpZKe_U02</x:v>
      </x:c>
      <x:c r="E209" s="6" t="str">
        <x:v>👏👏👏</x:v>
      </x:c>
      <x:c r="F209" s="6" t="str">
        <x:v>102 w</x:v>
      </x:c>
      <x:c r="G209" s="6" t="d">
        <x:v>2024-11-03T18:34:52.000Z</x:v>
      </x:c>
      <x:c r="H209" s="6" t="n">
        <x:v>2</x:v>
      </x:c>
      <x:c r="I209" s="6" t="str">
        <x:v>Visible browser DOM extraction; no comment API</x:v>
      </x:c>
      <x:c r="J209" s="6" t="str">
        <x:v>RESEARCH_WORKSPACE/ResearchTools/SaSa_Comment_Collection/data/instagram_gap_batch/DBCK7wjpZKe_1792435065707736000.json</x:v>
      </x:c>
      <x:c r="K209" s="6" t="str">
        <x:v>https://www.instagram.com/reel/DBCK7wjpZKe/</x:v>
      </x:c>
      <x:c r="L209" s="6" t="str">
        <x:v>2026-10-19 to 2026-10-20 Hong Kong time</x:v>
      </x:c>
      <x:c r="M209" s="6" t="str">
        <x:v>2024_2026_revised_scope</x:v>
      </x:c>
    </x:row>
    <x:row r="210" ht="52" customHeight="1">
      <x:c r="A210" s="6" t="str">
        <x:v>instagram_18094647616471915</x:v>
      </x:c>
      <x:c r="B210" s="6" t="str">
        <x:v>instagram_DBCK7wjpZKe</x:v>
      </x:c>
      <x:c r="C210" s="6" t="str">
        <x:v>Instagram</x:v>
      </x:c>
      <x:c r="D210" s="6" t="str">
        <x:v>DBCK7wjpZKe_U03</x:v>
      </x:c>
      <x:c r="E210" s="6" t="str">
        <x:v>👏👏</x:v>
      </x:c>
      <x:c r="F210" s="6" t="str">
        <x:v>102 w</x:v>
      </x:c>
      <x:c r="G210" s="6" t="d">
        <x:v>2024-11-01T17:58:27.000Z</x:v>
      </x:c>
      <x:c r="H210" s="6" t="n">
        <x:v>3</x:v>
      </x:c>
      <x:c r="I210" s="6" t="str">
        <x:v>Visible browser DOM extraction; no comment API</x:v>
      </x:c>
      <x:c r="J210" s="6" t="str">
        <x:v>RESEARCH_WORKSPACE/ResearchTools/SaSa_Comment_Collection/data/instagram_gap_batch/DBCK7wjpZKe_1792435065707736000.json</x:v>
      </x:c>
      <x:c r="K210" s="6" t="str">
        <x:v>https://www.instagram.com/reel/DBCK7wjpZKe/</x:v>
      </x:c>
      <x:c r="L210" s="6" t="str">
        <x:v>2026-10-19 to 2026-10-20 Hong Kong time</x:v>
      </x:c>
      <x:c r="M210" s="6" t="str">
        <x:v>2024_2026_revised_scope</x:v>
      </x:c>
    </x:row>
    <x:row r="211" ht="52" customHeight="1">
      <x:c r="A211" s="6" t="str">
        <x:v>instagram_18045176845882837</x:v>
      </x:c>
      <x:c r="B211" s="6" t="str">
        <x:v>instagram_DBCK7wjpZKe</x:v>
      </x:c>
      <x:c r="C211" s="6" t="str">
        <x:v>Instagram</x:v>
      </x:c>
      <x:c r="D211" s="6" t="str">
        <x:v>DBCK7wjpZKe_U04</x:v>
      </x:c>
      <x:c r="E211" s="6" t="str">
        <x:v>Music</x:v>
      </x:c>
      <x:c r="F211" s="6" t="str">
        <x:v>102 w</x:v>
      </x:c>
      <x:c r="G211" s="6" t="d">
        <x:v>2024-10-31T21:13:57.000Z</x:v>
      </x:c>
      <x:c r="H211" s="6" t="n">
        <x:v>4</x:v>
      </x:c>
      <x:c r="I211" s="6" t="str">
        <x:v>Visible browser DOM extraction; no comment API</x:v>
      </x:c>
      <x:c r="J211" s="6" t="str">
        <x:v>RESEARCH_WORKSPACE/ResearchTools/SaSa_Comment_Collection/data/instagram_gap_batch/DBCK7wjpZKe_1792435065707736000.json</x:v>
      </x:c>
      <x:c r="K211" s="6" t="str">
        <x:v>https://www.instagram.com/reel/DBCK7wjpZKe/</x:v>
      </x:c>
      <x:c r="L211" s="6" t="str">
        <x:v>2026-10-19 to 2026-10-20 Hong Kong time</x:v>
      </x:c>
      <x:c r="M211" s="6" t="str">
        <x:v>2024_2026_revised_scope</x:v>
      </x:c>
    </x:row>
    <x:row r="212" ht="52" customHeight="1">
      <x:c r="A212" s="6" t="str">
        <x:v>instagram_18094557013471938</x:v>
      </x:c>
      <x:c r="B212" s="6" t="str">
        <x:v>instagram_DBCK7wjpZKe</x:v>
      </x:c>
      <x:c r="C212" s="6" t="str">
        <x:v>Instagram</x:v>
      </x:c>
      <x:c r="D212" s="6" t="str">
        <x:v>DBCK7wjpZKe_U05</x:v>
      </x:c>
      <x:c r="E212" s="6" t="str">
        <x:v>Súper</x:v>
      </x:c>
      <x:c r="F212" s="6" t="str">
        <x:v>102 w</x:v>
      </x:c>
      <x:c r="G212" s="6" t="d">
        <x:v>2024-10-31T18:56:40.000Z</x:v>
      </x:c>
      <x:c r="H212" s="6" t="n">
        <x:v>5</x:v>
      </x:c>
      <x:c r="I212" s="6" t="str">
        <x:v>Visible browser DOM extraction; no comment API</x:v>
      </x:c>
      <x:c r="J212" s="6" t="str">
        <x:v>RESEARCH_WORKSPACE/ResearchTools/SaSa_Comment_Collection/data/instagram_gap_batch/DBCK7wjpZKe_1792435065707736000.json</x:v>
      </x:c>
      <x:c r="K212" s="6" t="str">
        <x:v>https://www.instagram.com/reel/DBCK7wjpZKe/</x:v>
      </x:c>
      <x:c r="L212" s="6" t="str">
        <x:v>2026-10-19 to 2026-10-20 Hong Kong time</x:v>
      </x:c>
      <x:c r="M212" s="6" t="str">
        <x:v>2024_2026_revised_scope</x:v>
      </x:c>
    </x:row>
    <x:row r="213" ht="52" customHeight="1">
      <x:c r="A213" s="6" t="str">
        <x:v>instagram_18361484965142752</x:v>
      </x:c>
      <x:c r="B213" s="6" t="str">
        <x:v>instagram_DBCK7wjpZKe</x:v>
      </x:c>
      <x:c r="C213" s="6" t="str">
        <x:v>Instagram</x:v>
      </x:c>
      <x:c r="D213" s="6" t="str">
        <x:v>DBCK7wjpZKe_U06</x:v>
      </x:c>
      <x:c r="E213" s="6" t="str">
        <x:v>Magnifique. Classe .voyant mais pas trop ❤️❤️❤️❤️</x:v>
      </x:c>
      <x:c r="F213" s="6" t="str">
        <x:v>102 w</x:v>
      </x:c>
      <x:c r="G213" s="6" t="d">
        <x:v>2024-10-31T18:37:17.000Z</x:v>
      </x:c>
      <x:c r="H213" s="6" t="n">
        <x:v>6</x:v>
      </x:c>
      <x:c r="I213" s="6" t="str">
        <x:v>Visible browser DOM extraction; no comment API</x:v>
      </x:c>
      <x:c r="J213" s="6" t="str">
        <x:v>RESEARCH_WORKSPACE/ResearchTools/SaSa_Comment_Collection/data/instagram_gap_batch/DBCK7wjpZKe_1792435065707736000.json</x:v>
      </x:c>
      <x:c r="K213" s="6" t="str">
        <x:v>https://www.instagram.com/reel/DBCK7wjpZKe/</x:v>
      </x:c>
      <x:c r="L213" s="6" t="str">
        <x:v>2026-10-19 to 2026-10-20 Hong Kong time</x:v>
      </x:c>
      <x:c r="M213" s="6" t="str">
        <x:v>2024_2026_revised_scope</x:v>
      </x:c>
    </x:row>
    <x:row r="214" ht="52" customHeight="1">
      <x:c r="A214" s="6" t="str">
        <x:v>instagram_17879578413170247</x:v>
      </x:c>
      <x:c r="B214" s="6" t="str">
        <x:v>instagram_DBCK7wjpZKe</x:v>
      </x:c>
      <x:c r="C214" s="6" t="str">
        <x:v>Instagram</x:v>
      </x:c>
      <x:c r="D214" s="6" t="str">
        <x:v>DBCK7wjpZKe_U07</x:v>
      </x:c>
      <x:c r="E214" s="6" t="str">
        <x:v>❤️❤️❤️</x:v>
      </x:c>
      <x:c r="F214" s="6" t="str">
        <x:v>102 w</x:v>
      </x:c>
      <x:c r="G214" s="6" t="d">
        <x:v>2024-10-31T11:19:03.000Z</x:v>
      </x:c>
      <x:c r="H214" s="6" t="n">
        <x:v>7</x:v>
      </x:c>
      <x:c r="I214" s="6" t="str">
        <x:v>Visible browser DOM extraction; no comment API</x:v>
      </x:c>
      <x:c r="J214" s="6" t="str">
        <x:v>RESEARCH_WORKSPACE/ResearchTools/SaSa_Comment_Collection/data/instagram_gap_batch/DBCK7wjpZKe_1792435065707736000.json</x:v>
      </x:c>
      <x:c r="K214" s="6" t="str">
        <x:v>https://www.instagram.com/reel/DBCK7wjpZKe/</x:v>
      </x:c>
      <x:c r="L214" s="6" t="str">
        <x:v>2026-10-19 to 2026-10-20 Hong Kong time</x:v>
      </x:c>
      <x:c r="M214" s="6" t="str">
        <x:v>2024_2026_revised_scope</x:v>
      </x:c>
    </x:row>
    <x:row r="215" ht="52" customHeight="1">
      <x:c r="A215" s="6" t="str">
        <x:v>instagram_18047202070850077</x:v>
      </x:c>
      <x:c r="B215" s="6" t="str">
        <x:v>instagram_DBCK7wjpZKe</x:v>
      </x:c>
      <x:c r="C215" s="6" t="str">
        <x:v>Instagram</x:v>
      </x:c>
      <x:c r="D215" s="6" t="str">
        <x:v>DBCK7wjpZKe_U08</x:v>
      </x:c>
      <x:c r="E215" s="6" t="str">
        <x:v>😍</x:v>
      </x:c>
      <x:c r="F215" s="6" t="str">
        <x:v>102 w</x:v>
      </x:c>
      <x:c r="G215" s="6" t="d">
        <x:v>2024-10-30T23:10:07.000Z</x:v>
      </x:c>
      <x:c r="H215" s="6" t="n">
        <x:v>8</x:v>
      </x:c>
      <x:c r="I215" s="6" t="str">
        <x:v>Visible browser DOM extraction; no comment API</x:v>
      </x:c>
      <x:c r="J215" s="6" t="str">
        <x:v>RESEARCH_WORKSPACE/ResearchTools/SaSa_Comment_Collection/data/instagram_gap_batch/DBCK7wjpZKe_1792435065707736000.json</x:v>
      </x:c>
      <x:c r="K215" s="6" t="str">
        <x:v>https://www.instagram.com/reel/DBCK7wjpZKe/</x:v>
      </x:c>
      <x:c r="L215" s="6" t="str">
        <x:v>2026-10-19 to 2026-10-20 Hong Kong time</x:v>
      </x:c>
      <x:c r="M215" s="6" t="str">
        <x:v>2024_2026_revised_scope</x:v>
      </x:c>
    </x:row>
    <x:row r="216" ht="52" customHeight="1">
      <x:c r="A216" s="6" t="str">
        <x:v>instagram_18038855281986240</x:v>
      </x:c>
      <x:c r="B216" s="6" t="str">
        <x:v>instagram_DBCK7wjpZKe</x:v>
      </x:c>
      <x:c r="C216" s="6" t="str">
        <x:v>Instagram</x:v>
      </x:c>
      <x:c r="D216" s="6" t="str">
        <x:v>DBCK7wjpZKe_U09</x:v>
      </x:c>
      <x:c r="E216" s="6" t="str">
        <x:v>@nilou_b</x:v>
      </x:c>
      <x:c r="F216" s="6" t="str">
        <x:v>102 w</x:v>
      </x:c>
      <x:c r="G216" s="6" t="d">
        <x:v>2024-10-30T07:54:53.000Z</x:v>
      </x:c>
      <x:c r="H216" s="6" t="n">
        <x:v>9</x:v>
      </x:c>
      <x:c r="I216" s="6" t="str">
        <x:v>Visible browser DOM extraction; no comment API</x:v>
      </x:c>
      <x:c r="J216" s="6" t="str">
        <x:v>RESEARCH_WORKSPACE/ResearchTools/SaSa_Comment_Collection/data/instagram_gap_batch/DBCK7wjpZKe_1792435065707736000.json</x:v>
      </x:c>
      <x:c r="K216" s="6" t="str">
        <x:v>https://www.instagram.com/reel/DBCK7wjpZKe/</x:v>
      </x:c>
      <x:c r="L216" s="6" t="str">
        <x:v>2026-10-19 to 2026-10-20 Hong Kong time</x:v>
      </x:c>
      <x:c r="M216" s="6" t="str">
        <x:v>2024_2026_revised_scope</x:v>
      </x:c>
    </x:row>
    <x:row r="217" ht="52" customHeight="1">
      <x:c r="A217" s="6" t="str">
        <x:v>instagram_18043406819033229</x:v>
      </x:c>
      <x:c r="B217" s="6" t="str">
        <x:v>instagram_DBCK7wjpZKe</x:v>
      </x:c>
      <x:c r="C217" s="6" t="str">
        <x:v>Instagram</x:v>
      </x:c>
      <x:c r="D217" s="6" t="str">
        <x:v>DBCK7wjpZKe_U10</x:v>
      </x:c>
      <x:c r="E217" s="6" t="str">
        <x:v>Great idea❤️are you using black liquid liner</x:v>
      </x:c>
      <x:c r="F217" s="6" t="str">
        <x:v>102 w</x:v>
      </x:c>
      <x:c r="G217" s="6" t="d">
        <x:v>2024-10-30T07:33:12.000Z</x:v>
      </x:c>
      <x:c r="H217" s="6" t="n">
        <x:v>10</x:v>
      </x:c>
      <x:c r="I217" s="6" t="str">
        <x:v>Visible browser DOM extraction; no comment API</x:v>
      </x:c>
      <x:c r="J217" s="6" t="str">
        <x:v>RESEARCH_WORKSPACE/ResearchTools/SaSa_Comment_Collection/data/instagram_gap_batch/DBCK7wjpZKe_1792435065707736000.json</x:v>
      </x:c>
      <x:c r="K217" s="6" t="str">
        <x:v>https://www.instagram.com/reel/DBCK7wjpZKe/</x:v>
      </x:c>
      <x:c r="L217" s="6" t="str">
        <x:v>2026-10-19 to 2026-10-20 Hong Kong time</x:v>
      </x:c>
      <x:c r="M217" s="6" t="str">
        <x:v>2024_2026_revised_scope</x:v>
      </x:c>
    </x:row>
    <x:row r="218" ht="52" customHeight="1">
      <x:c r="A218" s="6" t="str">
        <x:v>instagram_18086630488506332</x:v>
      </x:c>
      <x:c r="B218" s="6" t="str">
        <x:v>instagram_DBCK7wjpZKe</x:v>
      </x:c>
      <x:c r="C218" s="6" t="str">
        <x:v>Instagram</x:v>
      </x:c>
      <x:c r="D218" s="6" t="str">
        <x:v>DBCK7wjpZKe_U11</x:v>
      </x:c>
      <x:c r="E218" s="6" t="str">
        <x:v>@stivesclaire</x:v>
      </x:c>
      <x:c r="F218" s="6" t="str">
        <x:v>102 w</x:v>
      </x:c>
      <x:c r="G218" s="6" t="d">
        <x:v>2024-10-29T10:47:46.000Z</x:v>
      </x:c>
      <x:c r="H218" s="6" t="n">
        <x:v>11</x:v>
      </x:c>
      <x:c r="I218" s="6" t="str">
        <x:v>Visible browser DOM extraction; no comment API</x:v>
      </x:c>
      <x:c r="J218" s="6" t="str">
        <x:v>RESEARCH_WORKSPACE/ResearchTools/SaSa_Comment_Collection/data/instagram_gap_batch/DBCK7wjpZKe_1792435065707736000.json</x:v>
      </x:c>
      <x:c r="K218" s="6" t="str">
        <x:v>https://www.instagram.com/reel/DBCK7wjpZKe/</x:v>
      </x:c>
      <x:c r="L218" s="6" t="str">
        <x:v>2026-10-19 to 2026-10-20 Hong Kong time</x:v>
      </x:c>
      <x:c r="M218" s="6" t="str">
        <x:v>2024_2026_revised_scope</x:v>
      </x:c>
    </x:row>
    <x:row r="219" ht="52" customHeight="1">
      <x:c r="A219" s="6" t="str">
        <x:v>instagram_17922111311989882</x:v>
      </x:c>
      <x:c r="B219" s="6" t="str">
        <x:v>instagram_DBCK7wjpZKe</x:v>
      </x:c>
      <x:c r="C219" s="6" t="str">
        <x:v>Instagram</x:v>
      </x:c>
      <x:c r="D219" s="6" t="str">
        <x:v>DBCK7wjpZKe_U12</x:v>
      </x:c>
      <x:c r="E219" s="6" t="str">
        <x:v>😍😍😍😍😍😍😍</x:v>
      </x:c>
      <x:c r="F219" s="6" t="str">
        <x:v>103 w</x:v>
      </x:c>
      <x:c r="G219" s="6" t="d">
        <x:v>2024-10-28T16:14:03.000Z</x:v>
      </x:c>
      <x:c r="H219" s="6" t="n">
        <x:v>12</x:v>
      </x:c>
      <x:c r="I219" s="6" t="str">
        <x:v>Visible browser DOM extraction; no comment API</x:v>
      </x:c>
      <x:c r="J219" s="6" t="str">
        <x:v>RESEARCH_WORKSPACE/ResearchTools/SaSa_Comment_Collection/data/instagram_gap_batch/DBCK7wjpZKe_1792435065707736000.json</x:v>
      </x:c>
      <x:c r="K219" s="6" t="str">
        <x:v>https://www.instagram.com/reel/DBCK7wjpZKe/</x:v>
      </x:c>
      <x:c r="L219" s="6" t="str">
        <x:v>2026-10-19 to 2026-10-20 Hong Kong time</x:v>
      </x:c>
      <x:c r="M219" s="6" t="str">
        <x:v>2024_2026_revised_scope</x:v>
      </x:c>
    </x:row>
    <x:row r="220" ht="52" customHeight="1">
      <x:c r="A220" s="6" t="str">
        <x:v>instagram_18011900783417139</x:v>
      </x:c>
      <x:c r="B220" s="6" t="str">
        <x:v>instagram_DBCK7wjpZKe</x:v>
      </x:c>
      <x:c r="C220" s="6" t="str">
        <x:v>Instagram</x:v>
      </x:c>
      <x:c r="D220" s="6" t="str">
        <x:v>DBCK7wjpZKe_U13</x:v>
      </x:c>
      <x:c r="E220" s="6" t="str">
        <x:v>;......,,......,......</x:v>
      </x:c>
      <x:c r="F220" s="6" t="str">
        <x:v>103 w</x:v>
      </x:c>
      <x:c r="G220" s="6" t="d">
        <x:v>2024-10-28T12:16:52.000Z</x:v>
      </x:c>
      <x:c r="H220" s="6" t="n">
        <x:v>13</x:v>
      </x:c>
      <x:c r="I220" s="6" t="str">
        <x:v>Visible browser DOM extraction; no comment API</x:v>
      </x:c>
      <x:c r="J220" s="6" t="str">
        <x:v>RESEARCH_WORKSPACE/ResearchTools/SaSa_Comment_Collection/data/instagram_gap_batch/DBCK7wjpZKe_1792435065707736000.json</x:v>
      </x:c>
      <x:c r="K220" s="6" t="str">
        <x:v>https://www.instagram.com/reel/DBCK7wjpZKe/</x:v>
      </x:c>
      <x:c r="L220" s="6" t="str">
        <x:v>2026-10-19 to 2026-10-20 Hong Kong time</x:v>
      </x:c>
      <x:c r="M220" s="6" t="str">
        <x:v>2024_2026_revised_scope</x:v>
      </x:c>
    </x:row>
    <x:row r="221" ht="52" customHeight="1">
      <x:c r="A221" s="6" t="str">
        <x:v>instagram_18069239692621425</x:v>
      </x:c>
      <x:c r="B221" s="6" t="str">
        <x:v>instagram_DBCK7wjpZKe</x:v>
      </x:c>
      <x:c r="C221" s="6" t="str">
        <x:v>Instagram</x:v>
      </x:c>
      <x:c r="D221" s="6" t="str">
        <x:v>DBCK7wjpZKe_U14</x:v>
      </x:c>
      <x:c r="E221" s="6" t="str">
        <x:v>😍😍😍😍</x:v>
      </x:c>
      <x:c r="F221" s="6" t="str">
        <x:v>103 w</x:v>
      </x:c>
      <x:c r="G221" s="6" t="d">
        <x:v>2024-10-27T11:51:28.000Z</x:v>
      </x:c>
      <x:c r="H221" s="6" t="n">
        <x:v>14</x:v>
      </x:c>
      <x:c r="I221" s="6" t="str">
        <x:v>Visible browser DOM extraction; no comment API</x:v>
      </x:c>
      <x:c r="J221" s="6" t="str">
        <x:v>RESEARCH_WORKSPACE/ResearchTools/SaSa_Comment_Collection/data/instagram_gap_batch/DBCK7wjpZKe_1792435065707736000.json</x:v>
      </x:c>
      <x:c r="K221" s="6" t="str">
        <x:v>https://www.instagram.com/reel/DBCK7wjpZKe/</x:v>
      </x:c>
      <x:c r="L221" s="6" t="str">
        <x:v>2026-10-19 to 2026-10-20 Hong Kong time</x:v>
      </x:c>
      <x:c r="M221" s="6" t="str">
        <x:v>2024_2026_revised_scope</x:v>
      </x:c>
    </x:row>
    <x:row r="222" ht="52" customHeight="1">
      <x:c r="A222" s="6" t="str">
        <x:v>instagram_18106189304278850</x:v>
      </x:c>
      <x:c r="B222" s="6" t="str">
        <x:v>instagram_DBHO7-1CUzs</x:v>
      </x:c>
      <x:c r="C222" s="6" t="str">
        <x:v>Instagram</x:v>
      </x:c>
      <x:c r="D222" s="6" t="str">
        <x:v>DBHO7-1CUzs_U01</x:v>
      </x:c>
      <x:c r="E222" s="6" t="str">
        <x:v>Love the sparkly tears 🖤</x:v>
      </x:c>
      <x:c r="F222" s="6" t="str">
        <x:v>2 d</x:v>
      </x:c>
      <x:c r="G222" s="6" t="d">
        <x:v>2026-10-17T15:58:04.000Z</x:v>
      </x:c>
      <x:c r="H222" s="6" t="n">
        <x:v>1</x:v>
      </x:c>
      <x:c r="I222" s="6" t="str">
        <x:v>Visible browser DOM extraction; no comment API</x:v>
      </x:c>
      <x:c r="J222" s="6" t="str">
        <x:v>RESEARCH_WORKSPACE/ResearchTools/SaSa_Comment_Collection/data/instagram_gap_batch/DBHO7-1CUzs_1792435154639262000.json</x:v>
      </x:c>
      <x:c r="K222" s="6" t="str">
        <x:v>https://www.instagram.com/reel/DBHO7-1CUzs/</x:v>
      </x:c>
      <x:c r="L222" s="6" t="str">
        <x:v>2026-10-19 to 2026-10-20 Hong Kong time</x:v>
      </x:c>
      <x:c r="M222" s="6" t="str">
        <x:v>2024_2026_revised_scope</x:v>
      </x:c>
    </x:row>
    <x:row r="223" ht="52" customHeight="1">
      <x:c r="A223" s="6" t="str">
        <x:v>instagram_18042507667931253</x:v>
      </x:c>
      <x:c r="B223" s="6" t="str">
        <x:v>instagram_DBHO7-1CUzs</x:v>
      </x:c>
      <x:c r="C223" s="6" t="str">
        <x:v>Instagram</x:v>
      </x:c>
      <x:c r="D223" s="6" t="str">
        <x:v>DBHO7-1CUzs_U02</x:v>
      </x:c>
      <x:c r="E223" s="6" t="str">
        <x:v>🖤🖤🖤</x:v>
      </x:c>
      <x:c r="F223" s="6" t="str">
        <x:v>102 w</x:v>
      </x:c>
      <x:c r="G223" s="6" t="d">
        <x:v>2024-11-03T16:00:39.000Z</x:v>
      </x:c>
      <x:c r="H223" s="6" t="n">
        <x:v>2</x:v>
      </x:c>
      <x:c r="I223" s="6" t="str">
        <x:v>Visible browser DOM extraction; no comment API</x:v>
      </x:c>
      <x:c r="J223" s="6" t="str">
        <x:v>RESEARCH_WORKSPACE/ResearchTools/SaSa_Comment_Collection/data/instagram_gap_batch/DBHO7-1CUzs_1792435154639262000.json</x:v>
      </x:c>
      <x:c r="K223" s="6" t="str">
        <x:v>https://www.instagram.com/reel/DBHO7-1CUzs/</x:v>
      </x:c>
      <x:c r="L223" s="6" t="str">
        <x:v>2026-10-19 to 2026-10-20 Hong Kong time</x:v>
      </x:c>
      <x:c r="M223" s="6" t="str">
        <x:v>2024_2026_revised_scope</x:v>
      </x:c>
    </x:row>
    <x:row r="224" ht="52" customHeight="1">
      <x:c r="A224" s="6" t="str">
        <x:v>instagram_17925423890973560</x:v>
      </x:c>
      <x:c r="B224" s="6" t="str">
        <x:v>instagram_DBHO7-1CUzs</x:v>
      </x:c>
      <x:c r="C224" s="6" t="str">
        <x:v>Instagram</x:v>
      </x:c>
      <x:c r="D224" s="6" t="str">
        <x:v>DBHO7-1CUzs_U03</x:v>
      </x:c>
      <x:c r="E224" s="6" t="str">
        <x:v>perfect</x:v>
      </x:c>
      <x:c r="F224" s="6" t="str">
        <x:v>102 w</x:v>
      </x:c>
      <x:c r="G224" s="6" t="d">
        <x:v>2024-11-02T15:21:01.000Z</x:v>
      </x:c>
      <x:c r="H224" s="6" t="n">
        <x:v>3</x:v>
      </x:c>
      <x:c r="I224" s="6" t="str">
        <x:v>Visible browser DOM extraction; no comment API</x:v>
      </x:c>
      <x:c r="J224" s="6" t="str">
        <x:v>RESEARCH_WORKSPACE/ResearchTools/SaSa_Comment_Collection/data/instagram_gap_batch/DBHO7-1CUzs_1792435154639262000.json</x:v>
      </x:c>
      <x:c r="K224" s="6" t="str">
        <x:v>https://www.instagram.com/reel/DBHO7-1CUzs/</x:v>
      </x:c>
      <x:c r="L224" s="6" t="str">
        <x:v>2026-10-19 to 2026-10-20 Hong Kong time</x:v>
      </x:c>
      <x:c r="M224" s="6" t="str">
        <x:v>2024_2026_revised_scope</x:v>
      </x:c>
    </x:row>
    <x:row r="225" ht="52" customHeight="1">
      <x:c r="A225" s="6" t="str">
        <x:v>instagram_18048949963991031</x:v>
      </x:c>
      <x:c r="B225" s="6" t="str">
        <x:v>instagram_DBHO7-1CUzs</x:v>
      </x:c>
      <x:c r="C225" s="6" t="str">
        <x:v>Instagram</x:v>
      </x:c>
      <x:c r="D225" s="6" t="str">
        <x:v>DBHO7-1CUzs_U04</x:v>
      </x:c>
      <x:c r="E225" s="6" t="str">
        <x:v>È passato da 2 giorniiiiiii</x:v>
      </x:c>
      <x:c r="F225" s="6" t="str">
        <x:v>102 w</x:v>
      </x:c>
      <x:c r="G225" s="6" t="d">
        <x:v>2024-11-02T11:40:09.000Z</x:v>
      </x:c>
      <x:c r="H225" s="6" t="n">
        <x:v>4</x:v>
      </x:c>
      <x:c r="I225" s="6" t="str">
        <x:v>Visible browser DOM extraction; no comment API</x:v>
      </x:c>
      <x:c r="J225" s="6" t="str">
        <x:v>RESEARCH_WORKSPACE/ResearchTools/SaSa_Comment_Collection/data/instagram_gap_batch/DBHO7-1CUzs_1792435154639262000.json</x:v>
      </x:c>
      <x:c r="K225" s="6" t="str">
        <x:v>https://www.instagram.com/reel/DBHO7-1CUzs/</x:v>
      </x:c>
      <x:c r="L225" s="6" t="str">
        <x:v>2026-10-19 to 2026-10-20 Hong Kong time</x:v>
      </x:c>
      <x:c r="M225" s="6" t="str">
        <x:v>2024_2026_revised_scope</x:v>
      </x:c>
    </x:row>
    <x:row r="226" ht="52" customHeight="1">
      <x:c r="A226" s="6" t="str">
        <x:v>instagram_18030561806122093</x:v>
      </x:c>
      <x:c r="B226" s="6" t="str">
        <x:v>instagram_DBHO7-1CUzs</x:v>
      </x:c>
      <x:c r="C226" s="6" t="str">
        <x:v>Instagram</x:v>
      </x:c>
      <x:c r="D226" s="6" t="str">
        <x:v>DBHO7-1CUzs_U05</x:v>
      </x:c>
      <x:c r="E226" s="6" t="str">
        <x:v>😍😍😍beautiful 👏</x:v>
      </x:c>
      <x:c r="F226" s="6" t="str">
        <x:v>102 w</x:v>
      </x:c>
      <x:c r="G226" s="6" t="d">
        <x:v>2024-10-30T17:24:05.000Z</x:v>
      </x:c>
      <x:c r="H226" s="6" t="n">
        <x:v>5</x:v>
      </x:c>
      <x:c r="I226" s="6" t="str">
        <x:v>Visible browser DOM extraction; no comment API</x:v>
      </x:c>
      <x:c r="J226" s="6" t="str">
        <x:v>RESEARCH_WORKSPACE/ResearchTools/SaSa_Comment_Collection/data/instagram_gap_batch/DBHO7-1CUzs_1792435154639262000.json</x:v>
      </x:c>
      <x:c r="K226" s="6" t="str">
        <x:v>https://www.instagram.com/reel/DBHO7-1CUzs/</x:v>
      </x:c>
      <x:c r="L226" s="6" t="str">
        <x:v>2026-10-19 to 2026-10-20 Hong Kong time</x:v>
      </x:c>
      <x:c r="M226" s="6" t="str">
        <x:v>2024_2026_revised_scope</x:v>
      </x:c>
    </x:row>
    <x:row r="227" ht="52" customHeight="1">
      <x:c r="A227" s="6" t="str">
        <x:v>instagram_17945772437888498</x:v>
      </x:c>
      <x:c r="B227" s="6" t="str">
        <x:v>instagram_DBHO7-1CUzs</x:v>
      </x:c>
      <x:c r="C227" s="6" t="str">
        <x:v>Instagram</x:v>
      </x:c>
      <x:c r="D227" s="6" t="str">
        <x:v>DBHO7-1CUzs_U06</x:v>
      </x:c>
      <x:c r="E227" s="6" t="str">
        <x:v>Can anybody Tell me what i need for this beutiful make up?</x:v>
      </x:c>
      <x:c r="F227" s="6" t="str">
        <x:v>102 w</x:v>
      </x:c>
      <x:c r="G227" s="6" t="d">
        <x:v>2024-10-30T15:43:12.000Z</x:v>
      </x:c>
      <x:c r="H227" s="6" t="n">
        <x:v>6</x:v>
      </x:c>
      <x:c r="I227" s="6" t="str">
        <x:v>Visible browser DOM extraction; no comment API</x:v>
      </x:c>
      <x:c r="J227" s="6" t="str">
        <x:v>RESEARCH_WORKSPACE/ResearchTools/SaSa_Comment_Collection/data/instagram_gap_batch/DBHO7-1CUzs_1792435154639262000.json</x:v>
      </x:c>
      <x:c r="K227" s="6" t="str">
        <x:v>https://www.instagram.com/reel/DBHO7-1CUzs/</x:v>
      </x:c>
      <x:c r="L227" s="6" t="str">
        <x:v>2026-10-19 to 2026-10-20 Hong Kong time</x:v>
      </x:c>
      <x:c r="M227" s="6" t="str">
        <x:v>2024_2026_revised_scope</x:v>
      </x:c>
    </x:row>
    <x:row r="228" ht="52" customHeight="1">
      <x:c r="A228" s="6" t="str">
        <x:v>instagram_18042343168928129</x:v>
      </x:c>
      <x:c r="B228" s="6" t="str">
        <x:v>instagram_DBHO7-1CUzs</x:v>
      </x:c>
      <x:c r="C228" s="6" t="str">
        <x:v>Instagram</x:v>
      </x:c>
      <x:c r="D228" s="6" t="str">
        <x:v>DBHO7-1CUzs_U07</x:v>
      </x:c>
      <x:c r="E228" s="6" t="str">
        <x:v>O que usou para fluir líquido preto?</x:v>
      </x:c>
      <x:c r="F228" s="6" t="str">
        <x:v>102 w</x:v>
      </x:c>
      <x:c r="G228" s="6" t="d">
        <x:v>2024-10-29T22:15:53.000Z</x:v>
      </x:c>
      <x:c r="H228" s="6" t="n">
        <x:v>7</x:v>
      </x:c>
      <x:c r="I228" s="6" t="str">
        <x:v>Visible browser DOM extraction; no comment API</x:v>
      </x:c>
      <x:c r="J228" s="6" t="str">
        <x:v>RESEARCH_WORKSPACE/ResearchTools/SaSa_Comment_Collection/data/instagram_gap_batch/DBHO7-1CUzs_1792435154639262000.json</x:v>
      </x:c>
      <x:c r="K228" s="6" t="str">
        <x:v>https://www.instagram.com/reel/DBHO7-1CUzs/</x:v>
      </x:c>
      <x:c r="L228" s="6" t="str">
        <x:v>2026-10-19 to 2026-10-20 Hong Kong time</x:v>
      </x:c>
      <x:c r="M228" s="6" t="str">
        <x:v>2024_2026_revised_scope</x:v>
      </x:c>
    </x:row>
    <x:row r="229" ht="52" customHeight="1">
      <x:c r="A229" s="6" t="str">
        <x:v>instagram_18015153551634202</x:v>
      </x:c>
      <x:c r="B229" s="6" t="str">
        <x:v>instagram_DBHO7-1CUzs</x:v>
      </x:c>
      <x:c r="C229" s="6" t="str">
        <x:v>Instagram</x:v>
      </x:c>
      <x:c r="D229" s="6" t="str">
        <x:v>DBHO7-1CUzs_U08</x:v>
      </x:c>
      <x:c r="E229" s="6" t="str">
        <x:v>Para quem tem olheiras como eu é perfeita a make ❤️😂</x:v>
      </x:c>
      <x:c r="F229" s="6" t="str">
        <x:v>102 w</x:v>
      </x:c>
      <x:c r="G229" s="6" t="d">
        <x:v>2024-10-29T17:42:22.000Z</x:v>
      </x:c>
      <x:c r="H229" s="6" t="n">
        <x:v>8</x:v>
      </x:c>
      <x:c r="I229" s="6" t="str">
        <x:v>Visible browser DOM extraction; no comment API</x:v>
      </x:c>
      <x:c r="J229" s="6" t="str">
        <x:v>RESEARCH_WORKSPACE/ResearchTools/SaSa_Comment_Collection/data/instagram_gap_batch/DBHO7-1CUzs_1792435154639262000.json</x:v>
      </x:c>
      <x:c r="K229" s="6" t="str">
        <x:v>https://www.instagram.com/reel/DBHO7-1CUzs/</x:v>
      </x:c>
      <x:c r="L229" s="6" t="str">
        <x:v>2026-10-19 to 2026-10-20 Hong Kong time</x:v>
      </x:c>
      <x:c r="M229" s="6" t="str">
        <x:v>2024_2026_revised_scope</x:v>
      </x:c>
    </x:row>
    <x:row r="230" ht="52" customHeight="1">
      <x:c r="A230" s="6" t="str">
        <x:v>instagram_18039535139177694</x:v>
      </x:c>
      <x:c r="B230" s="6" t="str">
        <x:v>instagram_DBHO7-1CUzs</x:v>
      </x:c>
      <x:c r="C230" s="6" t="str">
        <x:v>Instagram</x:v>
      </x:c>
      <x:c r="D230" s="6" t="str">
        <x:v>DBHO7-1CUzs_U09</x:v>
      </x:c>
      <x:c r="E230" s="6" t="str">
        <x:v>Is this an eyeliner? How to apply it like this?</x:v>
      </x:c>
      <x:c r="F230" s="6" t="str">
        <x:v>103 w</x:v>
      </x:c>
      <x:c r="G230" s="6" t="d">
        <x:v>2024-10-28T13:45:11.000Z</x:v>
      </x:c>
      <x:c r="H230" s="6" t="n">
        <x:v>9</x:v>
      </x:c>
      <x:c r="I230" s="6" t="str">
        <x:v>Visible browser DOM extraction; no comment API</x:v>
      </x:c>
      <x:c r="J230" s="6" t="str">
        <x:v>RESEARCH_WORKSPACE/ResearchTools/SaSa_Comment_Collection/data/instagram_gap_batch/DBHO7-1CUzs_1792435154639262000.json</x:v>
      </x:c>
      <x:c r="K230" s="6" t="str">
        <x:v>https://www.instagram.com/reel/DBHO7-1CUzs/</x:v>
      </x:c>
      <x:c r="L230" s="6" t="str">
        <x:v>2026-10-19 to 2026-10-20 Hong Kong time</x:v>
      </x:c>
      <x:c r="M230" s="6" t="str">
        <x:v>2024_2026_revised_scope</x:v>
      </x:c>
    </x:row>
    <x:row r="231" ht="52" customHeight="1">
      <x:c r="A231" s="6" t="str">
        <x:v>instagram_17932455587978305</x:v>
      </x:c>
      <x:c r="B231" s="6" t="str">
        <x:v>instagram_DBHO7-1CUzs</x:v>
      </x:c>
      <x:c r="C231" s="6" t="str">
        <x:v>Instagram</x:v>
      </x:c>
      <x:c r="D231" s="6" t="str">
        <x:v>DBHO7-1CUzs_U10</x:v>
      </x:c>
      <x:c r="E231" s="6" t="str">
        <x:v>The glitter on the lip? What do you use?</x:v>
      </x:c>
      <x:c r="F231" s="6" t="str">
        <x:v>103 w</x:v>
      </x:c>
      <x:c r="G231" s="6" t="d">
        <x:v>2024-10-27T19:19:47.000Z</x:v>
      </x:c>
      <x:c r="H231" s="6" t="n">
        <x:v>10</x:v>
      </x:c>
      <x:c r="I231" s="6" t="str">
        <x:v>Visible browser DOM extraction; no comment API</x:v>
      </x:c>
      <x:c r="J231" s="6" t="str">
        <x:v>RESEARCH_WORKSPACE/ResearchTools/SaSa_Comment_Collection/data/instagram_gap_batch/DBHO7-1CUzs_1792435154639262000.json</x:v>
      </x:c>
      <x:c r="K231" s="6" t="str">
        <x:v>https://www.instagram.com/reel/DBHO7-1CUzs/</x:v>
      </x:c>
      <x:c r="L231" s="6" t="str">
        <x:v>2026-10-19 to 2026-10-20 Hong Kong time</x:v>
      </x:c>
      <x:c r="M231" s="6" t="str">
        <x:v>2024_2026_revised_scope</x:v>
      </x:c>
    </x:row>
    <x:row r="232" ht="52" customHeight="1">
      <x:c r="A232" s="6" t="str">
        <x:v>instagram_17991277346569308</x:v>
      </x:c>
      <x:c r="B232" s="6" t="str">
        <x:v>instagram_DBHO7-1CUzs</x:v>
      </x:c>
      <x:c r="C232" s="6" t="str">
        <x:v>Instagram</x:v>
      </x:c>
      <x:c r="D232" s="6" t="str">
        <x:v>DBHO7-1CUzs_U11</x:v>
      </x:c>
      <x:c r="E232" s="6" t="str">
        <x:v>How do you do the dripping effect? Like what are you using. Probably could do this since I’m a sad bitch most days.</x:v>
      </x:c>
      <x:c r="F232" s="6" t="str">
        <x:v>103 w</x:v>
      </x:c>
      <x:c r="G232" s="6" t="d">
        <x:v>2024-10-27T18:24:59.000Z</x:v>
      </x:c>
      <x:c r="H232" s="6" t="n">
        <x:v>11</x:v>
      </x:c>
      <x:c r="I232" s="6" t="str">
        <x:v>Visible browser DOM extraction; no comment API</x:v>
      </x:c>
      <x:c r="J232" s="6" t="str">
        <x:v>RESEARCH_WORKSPACE/ResearchTools/SaSa_Comment_Collection/data/instagram_gap_batch/DBHO7-1CUzs_1792435154639262000.json</x:v>
      </x:c>
      <x:c r="K232" s="6" t="str">
        <x:v>https://www.instagram.com/reel/DBHO7-1CUzs/</x:v>
      </x:c>
      <x:c r="L232" s="6" t="str">
        <x:v>2026-10-19 to 2026-10-20 Hong Kong time</x:v>
      </x:c>
      <x:c r="M232" s="6" t="str">
        <x:v>2024_2026_revised_scope</x:v>
      </x:c>
    </x:row>
    <x:row r="233" ht="52" customHeight="1">
      <x:c r="A233" s="6" t="str">
        <x:v>instagram_18060435187776402</x:v>
      </x:c>
      <x:c r="B233" s="6" t="str">
        <x:v>instagram_DBHO7-1CUzs</x:v>
      </x:c>
      <x:c r="C233" s="6" t="str">
        <x:v>Instagram</x:v>
      </x:c>
      <x:c r="D233" s="6" t="str">
        <x:v>DBHO7-1CUzs_U12</x:v>
      </x:c>
      <x:c r="E233" s="6" t="str">
        <x:v>What did you use for the tears? Mascara?</x:v>
      </x:c>
      <x:c r="F233" s="6" t="str">
        <x:v>103 w</x:v>
      </x:c>
      <x:c r="G233" s="6" t="d">
        <x:v>2024-10-27T14:18:47.000Z</x:v>
      </x:c>
      <x:c r="H233" s="6" t="n">
        <x:v>12</x:v>
      </x:c>
      <x:c r="I233" s="6" t="str">
        <x:v>Visible browser DOM extraction; no comment API</x:v>
      </x:c>
      <x:c r="J233" s="6" t="str">
        <x:v>RESEARCH_WORKSPACE/ResearchTools/SaSa_Comment_Collection/data/instagram_gap_batch/DBHO7-1CUzs_1792435154639262000.json</x:v>
      </x:c>
      <x:c r="K233" s="6" t="str">
        <x:v>https://www.instagram.com/reel/DBHO7-1CUzs/</x:v>
      </x:c>
      <x:c r="L233" s="6" t="str">
        <x:v>2026-10-19 to 2026-10-20 Hong Kong time</x:v>
      </x:c>
      <x:c r="M233" s="6" t="str">
        <x:v>2024_2026_revised_scope</x:v>
      </x:c>
    </x:row>
    <x:row r="234" ht="52" customHeight="1">
      <x:c r="A234" s="6" t="str">
        <x:v>instagram_18036900050020490</x:v>
      </x:c>
      <x:c r="B234" s="6" t="str">
        <x:v>instagram_DBHO7-1CUzs</x:v>
      </x:c>
      <x:c r="C234" s="6" t="str">
        <x:v>Instagram</x:v>
      </x:c>
      <x:c r="D234" s="6" t="str">
        <x:v>DBHO7-1CUzs_U13</x:v>
      </x:c>
      <x:c r="E234" s="6" t="str">
        <x:v>So freaking cool</x:v>
      </x:c>
      <x:c r="F234" s="6" t="str">
        <x:v>103 w</x:v>
      </x:c>
      <x:c r="G234" s="6" t="d">
        <x:v>2024-10-27T02:33:42.000Z</x:v>
      </x:c>
      <x:c r="H234" s="6" t="n">
        <x:v>13</x:v>
      </x:c>
      <x:c r="I234" s="6" t="str">
        <x:v>Visible browser DOM extraction; no comment API</x:v>
      </x:c>
      <x:c r="J234" s="6" t="str">
        <x:v>RESEARCH_WORKSPACE/ResearchTools/SaSa_Comment_Collection/data/instagram_gap_batch/DBHO7-1CUzs_1792435154639262000.json</x:v>
      </x:c>
      <x:c r="K234" s="6" t="str">
        <x:v>https://www.instagram.com/reel/DBHO7-1CUzs/</x:v>
      </x:c>
      <x:c r="L234" s="6" t="str">
        <x:v>2026-10-19 to 2026-10-20 Hong Kong time</x:v>
      </x:c>
      <x:c r="M234" s="6" t="str">
        <x:v>2024_2026_revised_scope</x:v>
      </x:c>
    </x:row>
    <x:row r="235" ht="52" customHeight="1">
      <x:c r="A235" s="6" t="str">
        <x:v>instagram_17969274785797663</x:v>
      </x:c>
      <x:c r="B235" s="6" t="str">
        <x:v>instagram_DBHO7-1CUzs</x:v>
      </x:c>
      <x:c r="C235" s="6" t="str">
        <x:v>Instagram</x:v>
      </x:c>
      <x:c r="D235" s="6" t="str">
        <x:v>DBHO7-1CUzs_U14</x:v>
      </x:c>
      <x:c r="E235" s="6" t="str">
        <x:v>@naomi.dke</x:v>
      </x:c>
      <x:c r="F235" s="6" t="str">
        <x:v>103 w</x:v>
      </x:c>
      <x:c r="G235" s="6" t="d">
        <x:v>2024-10-26T17:49:37.000Z</x:v>
      </x:c>
      <x:c r="H235" s="6" t="n">
        <x:v>14</x:v>
      </x:c>
      <x:c r="I235" s="6" t="str">
        <x:v>Visible browser DOM extraction; no comment API</x:v>
      </x:c>
      <x:c r="J235" s="6" t="str">
        <x:v>RESEARCH_WORKSPACE/ResearchTools/SaSa_Comment_Collection/data/instagram_gap_batch/DBHO7-1CUzs_1792435154639262000.json</x:v>
      </x:c>
      <x:c r="K235" s="6" t="str">
        <x:v>https://www.instagram.com/reel/DBHO7-1CUzs/</x:v>
      </x:c>
      <x:c r="L235" s="6" t="str">
        <x:v>2026-10-19 to 2026-10-20 Hong Kong time</x:v>
      </x:c>
      <x:c r="M235" s="6" t="str">
        <x:v>2024_2026_revised_scope</x:v>
      </x:c>
    </x:row>
    <x:row r="236" ht="52" customHeight="1">
      <x:c r="A236" s="6" t="str">
        <x:v>instagram_18534805738012293</x:v>
      </x:c>
      <x:c r="B236" s="6" t="str">
        <x:v>instagram_DBePt0ntGVD</x:v>
      </x:c>
      <x:c r="C236" s="6" t="str">
        <x:v>Instagram</x:v>
      </x:c>
      <x:c r="D236" s="6" t="str">
        <x:v>DBePt0ntGVD_U01</x:v>
      </x:c>
      <x:c r="E236" s="6" t="str">
        <x:v>@verozp4 @layayita64</x:v>
      </x:c>
      <x:c r="F236" s="6" t="str">
        <x:v>50 w</x:v>
      </x:c>
      <x:c r="G236" s="6" t="d">
        <x:v>2025-10-29T20:31:49.000Z</x:v>
      </x:c>
      <x:c r="H236" s="6" t="n">
        <x:v>1</x:v>
      </x:c>
      <x:c r="I236" s="6" t="str">
        <x:v>Visible browser DOM extraction; no comment API</x:v>
      </x:c>
      <x:c r="J236" s="6" t="str">
        <x:v>RESEARCH_WORKSPACE/ResearchTools/SaSa_Comment_Collection/data/instagram_gap_batch/DBePt0ntGVD_1792435089749991000.json</x:v>
      </x:c>
      <x:c r="K236" s="6" t="str">
        <x:v>https://www.instagram.com/reel/DBePt0ntGVD/</x:v>
      </x:c>
      <x:c r="L236" s="6" t="str">
        <x:v>2026-10-19 to 2026-10-20 Hong Kong time</x:v>
      </x:c>
      <x:c r="M236" s="6" t="str">
        <x:v>2024_2026_revised_scope</x:v>
      </x:c>
    </x:row>
    <x:row r="237" ht="52" customHeight="1">
      <x:c r="A237" s="6" t="str">
        <x:v>instagram_18027557951539044</x:v>
      </x:c>
      <x:c r="B237" s="6" t="str">
        <x:v>instagram_DBePt0ntGVD</x:v>
      </x:c>
      <x:c r="C237" s="6" t="str">
        <x:v>Instagram</x:v>
      </x:c>
      <x:c r="D237" s="6" t="str">
        <x:v>DBePt0ntGVD_U02</x:v>
      </x:c>
      <x:c r="E237" s="6" t="str">
        <x:v>So cool</x:v>
      </x:c>
      <x:c r="F237" s="6" t="str">
        <x:v>53 w</x:v>
      </x:c>
      <x:c r="G237" s="6" t="d">
        <x:v>2025-10-12T14:07:15.000Z</x:v>
      </x:c>
      <x:c r="H237" s="6" t="n">
        <x:v>2</x:v>
      </x:c>
      <x:c r="I237" s="6" t="str">
        <x:v>Visible browser DOM extraction; no comment API</x:v>
      </x:c>
      <x:c r="J237" s="6" t="str">
        <x:v>RESEARCH_WORKSPACE/ResearchTools/SaSa_Comment_Collection/data/instagram_gap_batch/DBePt0ntGVD_1792435089749991000.json</x:v>
      </x:c>
      <x:c r="K237" s="6" t="str">
        <x:v>https://www.instagram.com/reel/DBePt0ntGVD/</x:v>
      </x:c>
      <x:c r="L237" s="6" t="str">
        <x:v>2026-10-19 to 2026-10-20 Hong Kong time</x:v>
      </x:c>
      <x:c r="M237" s="6" t="str">
        <x:v>2024_2026_revised_scope</x:v>
      </x:c>
    </x:row>
    <x:row r="238" ht="52" customHeight="1">
      <x:c r="A238" s="6" t="str">
        <x:v>instagram_18084126715912297</x:v>
      </x:c>
      <x:c r="B238" s="6" t="str">
        <x:v>instagram_DBePt0ntGVD</x:v>
      </x:c>
      <x:c r="C238" s="6" t="str">
        <x:v>Instagram</x:v>
      </x:c>
      <x:c r="D238" s="6" t="str">
        <x:v>DBePt0ntGVD_U03</x:v>
      </x:c>
      <x:c r="E238" s="6" t="str">
        <x:v>สวยง่ายค่ะ</x:v>
      </x:c>
      <x:c r="F238" s="6" t="str">
        <x:v>56 w</x:v>
      </x:c>
      <x:c r="G238" s="6" t="d">
        <x:v>2025-09-22T13:10:37.000Z</x:v>
      </x:c>
      <x:c r="H238" s="6" t="n">
        <x:v>3</x:v>
      </x:c>
      <x:c r="I238" s="6" t="str">
        <x:v>Visible browser DOM extraction; no comment API</x:v>
      </x:c>
      <x:c r="J238" s="6" t="str">
        <x:v>RESEARCH_WORKSPACE/ResearchTools/SaSa_Comment_Collection/data/instagram_gap_batch/DBePt0ntGVD_1792435089749991000.json</x:v>
      </x:c>
      <x:c r="K238" s="6" t="str">
        <x:v>https://www.instagram.com/reel/DBePt0ntGVD/</x:v>
      </x:c>
      <x:c r="L238" s="6" t="str">
        <x:v>2026-10-19 to 2026-10-20 Hong Kong time</x:v>
      </x:c>
      <x:c r="M238" s="6" t="str">
        <x:v>2024_2026_revised_scope</x:v>
      </x:c>
    </x:row>
    <x:row r="239" ht="52" customHeight="1">
      <x:c r="A239" s="6" t="str">
        <x:v>instagram_18055327184434648</x:v>
      </x:c>
      <x:c r="B239" s="6" t="str">
        <x:v>instagram_DBePt0ntGVD</x:v>
      </x:c>
      <x:c r="C239" s="6" t="str">
        <x:v>Instagram</x:v>
      </x:c>
      <x:c r="D239" s="6" t="str">
        <x:v>DBePt0ntGVD_U04</x:v>
      </x:c>
      <x:c r="E239" s="6" t="str">
        <x:v>❤️❤️❤️❤️❤️ love it!!!</x:v>
      </x:c>
      <x:c r="F239" s="6" t="str">
        <x:v>60 w</x:v>
      </x:c>
      <x:c r="G239" s="6" t="d">
        <x:v>2025-08-22T08:16:12.000Z</x:v>
      </x:c>
      <x:c r="H239" s="6" t="n">
        <x:v>4</x:v>
      </x:c>
      <x:c r="I239" s="6" t="str">
        <x:v>Visible browser DOM extraction; no comment API</x:v>
      </x:c>
      <x:c r="J239" s="6" t="str">
        <x:v>RESEARCH_WORKSPACE/ResearchTools/SaSa_Comment_Collection/data/instagram_gap_batch/DBePt0ntGVD_1792435089749991000.json</x:v>
      </x:c>
      <x:c r="K239" s="6" t="str">
        <x:v>https://www.instagram.com/reel/DBePt0ntGVD/</x:v>
      </x:c>
      <x:c r="L239" s="6" t="str">
        <x:v>2026-10-19 to 2026-10-20 Hong Kong time</x:v>
      </x:c>
      <x:c r="M239" s="6" t="str">
        <x:v>2024_2026_revised_scope</x:v>
      </x:c>
    </x:row>
    <x:row r="240" ht="52" customHeight="1">
      <x:c r="A240" s="6" t="str">
        <x:v>instagram_18063153974497701</x:v>
      </x:c>
      <x:c r="B240" s="6" t="str">
        <x:v>instagram_DBePt0ntGVD</x:v>
      </x:c>
      <x:c r="C240" s="6" t="str">
        <x:v>Instagram</x:v>
      </x:c>
      <x:c r="D240" s="6" t="str">
        <x:v>DBePt0ntGVD_U05</x:v>
      </x:c>
      <x:c r="E240" s="6" t="str">
        <x:v>This is so good 🔥</x:v>
      </x:c>
      <x:c r="F240" s="6" t="str">
        <x:v>82 w</x:v>
      </x:c>
      <x:c r="G240" s="6" t="d">
        <x:v>2025-03-18T18:17:17.000Z</x:v>
      </x:c>
      <x:c r="H240" s="6" t="n">
        <x:v>5</x:v>
      </x:c>
      <x:c r="I240" s="6" t="str">
        <x:v>Visible browser DOM extraction; no comment API</x:v>
      </x:c>
      <x:c r="J240" s="6" t="str">
        <x:v>RESEARCH_WORKSPACE/ResearchTools/SaSa_Comment_Collection/data/instagram_gap_batch/DBePt0ntGVD_1792435089749991000.json</x:v>
      </x:c>
      <x:c r="K240" s="6" t="str">
        <x:v>https://www.instagram.com/reel/DBePt0ntGVD/</x:v>
      </x:c>
      <x:c r="L240" s="6" t="str">
        <x:v>2026-10-19 to 2026-10-20 Hong Kong time</x:v>
      </x:c>
      <x:c r="M240" s="6" t="str">
        <x:v>2024_2026_revised_scope</x:v>
      </x:c>
    </x:row>
    <x:row r="241" ht="52" customHeight="1">
      <x:c r="A241" s="6" t="str">
        <x:v>instagram_18139812559331166</x:v>
      </x:c>
      <x:c r="B241" s="6" t="str">
        <x:v>instagram_DBePt0ntGVD</x:v>
      </x:c>
      <x:c r="C241" s="6" t="str">
        <x:v>Instagram</x:v>
      </x:c>
      <x:c r="D241" s="6" t="str">
        <x:v>DBePt0ntGVD_U06</x:v>
      </x:c>
      <x:c r="E241" s="6" t="str">
        <x:v>Beautiful work 💗</x:v>
      </x:c>
      <x:c r="F241" s="6" t="str">
        <x:v>94 w</x:v>
      </x:c>
      <x:c r="G241" s="6" t="d">
        <x:v>2024-12-24T04:04:44.000Z</x:v>
      </x:c>
      <x:c r="H241" s="6" t="n">
        <x:v>6</x:v>
      </x:c>
      <x:c r="I241" s="6" t="str">
        <x:v>Visible browser DOM extraction; no comment API</x:v>
      </x:c>
      <x:c r="J241" s="6" t="str">
        <x:v>RESEARCH_WORKSPACE/ResearchTools/SaSa_Comment_Collection/data/instagram_gap_batch/DBePt0ntGVD_1792435089749991000.json</x:v>
      </x:c>
      <x:c r="K241" s="6" t="str">
        <x:v>https://www.instagram.com/reel/DBePt0ntGVD/</x:v>
      </x:c>
      <x:c r="L241" s="6" t="str">
        <x:v>2026-10-19 to 2026-10-20 Hong Kong time</x:v>
      </x:c>
      <x:c r="M241" s="6" t="str">
        <x:v>2024_2026_revised_scope</x:v>
      </x:c>
    </x:row>
    <x:row r="242" ht="52" customHeight="1">
      <x:c r="A242" s="6" t="str">
        <x:v>instagram_17934758453945983</x:v>
      </x:c>
      <x:c r="B242" s="6" t="str">
        <x:v>instagram_DBePt0ntGVD</x:v>
      </x:c>
      <x:c r="C242" s="6" t="str">
        <x:v>Instagram</x:v>
      </x:c>
      <x:c r="D242" s="6" t="str">
        <x:v>DBePt0ntGVD_U07</x:v>
      </x:c>
      <x:c r="E242" s="6" t="str">
        <x:v>😍😍😍</x:v>
      </x:c>
      <x:c r="F242" s="6" t="str">
        <x:v>101 w</x:v>
      </x:c>
      <x:c r="G242" s="6" t="d">
        <x:v>2024-11-07T16:32:46.000Z</x:v>
      </x:c>
      <x:c r="H242" s="6" t="n">
        <x:v>7</x:v>
      </x:c>
      <x:c r="I242" s="6" t="str">
        <x:v>Visible browser DOM extraction; no comment API</x:v>
      </x:c>
      <x:c r="J242" s="6" t="str">
        <x:v>RESEARCH_WORKSPACE/ResearchTools/SaSa_Comment_Collection/data/instagram_gap_batch/DBePt0ntGVD_1792435089749991000.json</x:v>
      </x:c>
      <x:c r="K242" s="6" t="str">
        <x:v>https://www.instagram.com/reel/DBePt0ntGVD/</x:v>
      </x:c>
      <x:c r="L242" s="6" t="str">
        <x:v>2026-10-19 to 2026-10-20 Hong Kong time</x:v>
      </x:c>
      <x:c r="M242" s="6" t="str">
        <x:v>2024_2026_revised_scope</x:v>
      </x:c>
    </x:row>
    <x:row r="243" ht="52" customHeight="1">
      <x:c r="A243" s="6" t="str">
        <x:v>instagram_17911301354942624</x:v>
      </x:c>
      <x:c r="B243" s="6" t="str">
        <x:v>instagram_DBePt0ntGVD</x:v>
      </x:c>
      <x:c r="C243" s="6" t="str">
        <x:v>Instagram</x:v>
      </x:c>
      <x:c r="D243" s="6" t="str">
        <x:v>DBePt0ntGVD_U08</x:v>
      </x:c>
      <x:c r="E243" s="6" t="str">
        <x:v>Cool ❤️😍</x:v>
      </x:c>
      <x:c r="F243" s="6" t="str">
        <x:v>102 w</x:v>
      </x:c>
      <x:c r="G243" s="6" t="d">
        <x:v>2024-11-03T21:42:28.000Z</x:v>
      </x:c>
      <x:c r="H243" s="6" t="n">
        <x:v>8</x:v>
      </x:c>
      <x:c r="I243" s="6" t="str">
        <x:v>Visible browser DOM extraction; no comment API</x:v>
      </x:c>
      <x:c r="J243" s="6" t="str">
        <x:v>RESEARCH_WORKSPACE/ResearchTools/SaSa_Comment_Collection/data/instagram_gap_batch/DBePt0ntGVD_1792435089749991000.json</x:v>
      </x:c>
      <x:c r="K243" s="6" t="str">
        <x:v>https://www.instagram.com/reel/DBePt0ntGVD/</x:v>
      </x:c>
      <x:c r="L243" s="6" t="str">
        <x:v>2026-10-19 to 2026-10-20 Hong Kong time</x:v>
      </x:c>
      <x:c r="M243" s="6" t="str">
        <x:v>2024_2026_revised_scope</x:v>
      </x:c>
    </x:row>
    <x:row r="244" ht="52" customHeight="1">
      <x:c r="A244" s="6" t="str">
        <x:v>instagram_18070364431716559</x:v>
      </x:c>
      <x:c r="B244" s="6" t="str">
        <x:v>instagram_DBePt0ntGVD</x:v>
      </x:c>
      <x:c r="C244" s="6" t="str">
        <x:v>Instagram</x:v>
      </x:c>
      <x:c r="D244" s="6" t="str">
        <x:v>DBePt0ntGVD_U09</x:v>
      </x:c>
      <x:c r="E244" s="6" t="str">
        <x:v>باحاله 😍</x:v>
      </x:c>
      <x:c r="F244" s="6" t="str">
        <x:v>102 w</x:v>
      </x:c>
      <x:c r="G244" s="6" t="d">
        <x:v>2024-11-02T16:45:05.000Z</x:v>
      </x:c>
      <x:c r="H244" s="6" t="n">
        <x:v>9</x:v>
      </x:c>
      <x:c r="I244" s="6" t="str">
        <x:v>Visible browser DOM extraction; no comment API</x:v>
      </x:c>
      <x:c r="J244" s="6" t="str">
        <x:v>RESEARCH_WORKSPACE/ResearchTools/SaSa_Comment_Collection/data/instagram_gap_batch/DBePt0ntGVD_1792435089749991000.json</x:v>
      </x:c>
      <x:c r="K244" s="6" t="str">
        <x:v>https://www.instagram.com/reel/DBePt0ntGVD/</x:v>
      </x:c>
      <x:c r="L244" s="6" t="str">
        <x:v>2026-10-19 to 2026-10-20 Hong Kong time</x:v>
      </x:c>
      <x:c r="M244" s="6" t="str">
        <x:v>2024_2026_revised_scope</x:v>
      </x:c>
    </x:row>
    <x:row r="245" ht="52" customHeight="1">
      <x:c r="A245" s="6" t="str">
        <x:v>instagram_18065699947654897</x:v>
      </x:c>
      <x:c r="B245" s="6" t="str">
        <x:v>instagram_DBePt0ntGVD</x:v>
      </x:c>
      <x:c r="C245" s="6" t="str">
        <x:v>Instagram</x:v>
      </x:c>
      <x:c r="D245" s="6" t="str">
        <x:v>DBePt0ntGVD_U10</x:v>
      </x:c>
      <x:c r="E245" s="6" t="str">
        <x:v>@jacquelinedoldersum</x:v>
      </x:c>
      <x:c r="F245" s="6" t="str">
        <x:v>102 w</x:v>
      </x:c>
      <x:c r="G245" s="6" t="d">
        <x:v>2024-11-01T20:36:26.000Z</x:v>
      </x:c>
      <x:c r="H245" s="6" t="n">
        <x:v>10</x:v>
      </x:c>
      <x:c r="I245" s="6" t="str">
        <x:v>Visible browser DOM extraction; no comment API</x:v>
      </x:c>
      <x:c r="J245" s="6" t="str">
        <x:v>RESEARCH_WORKSPACE/ResearchTools/SaSa_Comment_Collection/data/instagram_gap_batch/DBePt0ntGVD_1792435089749991000.json</x:v>
      </x:c>
      <x:c r="K245" s="6" t="str">
        <x:v>https://www.instagram.com/reel/DBePt0ntGVD/</x:v>
      </x:c>
      <x:c r="L245" s="6" t="str">
        <x:v>2026-10-19 to 2026-10-20 Hong Kong time</x:v>
      </x:c>
      <x:c r="M245" s="6" t="str">
        <x:v>2024_2026_revised_scope</x:v>
      </x:c>
    </x:row>
    <x:row r="246" ht="52" customHeight="1">
      <x:c r="A246" s="6" t="str">
        <x:v>instagram_17945091488864559</x:v>
      </x:c>
      <x:c r="B246" s="6" t="str">
        <x:v>instagram_DBePt0ntGVD</x:v>
      </x:c>
      <x:c r="C246" s="6" t="str">
        <x:v>Instagram</x:v>
      </x:c>
      <x:c r="D246" s="6" t="str">
        <x:v>DBePt0ntGVD_U10</x:v>
      </x:c>
      <x:c r="E246" s="6" t="str">
        <x:v>#jacquelinedoldersum</x:v>
      </x:c>
      <x:c r="F246" s="6" t="str">
        <x:v>102 w</x:v>
      </x:c>
      <x:c r="G246" s="6" t="d">
        <x:v>2024-11-01T20:35:28.000Z</x:v>
      </x:c>
      <x:c r="H246" s="6" t="n">
        <x:v>11</x:v>
      </x:c>
      <x:c r="I246" s="6" t="str">
        <x:v>Visible browser DOM extraction; no comment API</x:v>
      </x:c>
      <x:c r="J246" s="6" t="str">
        <x:v>RESEARCH_WORKSPACE/ResearchTools/SaSa_Comment_Collection/data/instagram_gap_batch/DBePt0ntGVD_1792435089749991000.json</x:v>
      </x:c>
      <x:c r="K246" s="6" t="str">
        <x:v>https://www.instagram.com/reel/DBePt0ntGVD/</x:v>
      </x:c>
      <x:c r="L246" s="6" t="str">
        <x:v>2026-10-19 to 2026-10-20 Hong Kong time</x:v>
      </x:c>
      <x:c r="M246" s="6" t="str">
        <x:v>2024_2026_revised_scope</x:v>
      </x:c>
    </x:row>
    <x:row r="247" ht="52" customHeight="1">
      <x:c r="A247" s="6" t="str">
        <x:v>instagram_18283316839213030</x:v>
      </x:c>
      <x:c r="B247" s="6" t="str">
        <x:v>instagram_DBePt0ntGVD</x:v>
      </x:c>
      <x:c r="C247" s="6" t="str">
        <x:v>Instagram</x:v>
      </x:c>
      <x:c r="D247" s="6" t="str">
        <x:v>DBePt0ntGVD_U11</x:v>
      </x:c>
      <x:c r="E247" s="6" t="str">
        <x:v>@sebnemmcey</x:v>
      </x:c>
      <x:c r="F247" s="6" t="str">
        <x:v>102 w</x:v>
      </x:c>
      <x:c r="G247" s="6" t="d">
        <x:v>2024-11-01T18:22:26.000Z</x:v>
      </x:c>
      <x:c r="H247" s="6" t="n">
        <x:v>12</x:v>
      </x:c>
      <x:c r="I247" s="6" t="str">
        <x:v>Visible browser DOM extraction; no comment API</x:v>
      </x:c>
      <x:c r="J247" s="6" t="str">
        <x:v>RESEARCH_WORKSPACE/ResearchTools/SaSa_Comment_Collection/data/instagram_gap_batch/DBePt0ntGVD_1792435089749991000.json</x:v>
      </x:c>
      <x:c r="K247" s="6" t="str">
        <x:v>https://www.instagram.com/reel/DBePt0ntGVD/</x:v>
      </x:c>
      <x:c r="L247" s="6" t="str">
        <x:v>2026-10-19 to 2026-10-20 Hong Kong time</x:v>
      </x:c>
      <x:c r="M247" s="6" t="str">
        <x:v>2024_2026_revised_scope</x:v>
      </x:c>
    </x:row>
    <x:row r="248" ht="52" customHeight="1">
      <x:c r="A248" s="6" t="str">
        <x:v>instagram_17987633768729001</x:v>
      </x:c>
      <x:c r="B248" s="6" t="str">
        <x:v>instagram_DBePt0ntGVD</x:v>
      </x:c>
      <x:c r="C248" s="6" t="str">
        <x:v>Instagram</x:v>
      </x:c>
      <x:c r="D248" s="6" t="str">
        <x:v>DBePt0ntGVD_U12</x:v>
      </x:c>
      <x:c r="E248" s="6" t="str">
        <x:v>@_lorranauchoa</x:v>
      </x:c>
      <x:c r="F248" s="6" t="str">
        <x:v>102 w</x:v>
      </x:c>
      <x:c r="G248" s="6" t="d">
        <x:v>2024-11-01T14:56:48.000Z</x:v>
      </x:c>
      <x:c r="H248" s="6" t="n">
        <x:v>13</x:v>
      </x:c>
      <x:c r="I248" s="6" t="str">
        <x:v>Visible browser DOM extraction; no comment API</x:v>
      </x:c>
      <x:c r="J248" s="6" t="str">
        <x:v>RESEARCH_WORKSPACE/ResearchTools/SaSa_Comment_Collection/data/instagram_gap_batch/DBePt0ntGVD_1792435089749991000.json</x:v>
      </x:c>
      <x:c r="K248" s="6" t="str">
        <x:v>https://www.instagram.com/reel/DBePt0ntGVD/</x:v>
      </x:c>
      <x:c r="L248" s="6" t="str">
        <x:v>2026-10-19 to 2026-10-20 Hong Kong time</x:v>
      </x:c>
      <x:c r="M248" s="6" t="str">
        <x:v>2024_2026_revised_scope</x:v>
      </x:c>
    </x:row>
    <x:row r="249" ht="52" customHeight="1">
      <x:c r="A249" s="6" t="str">
        <x:v>instagram_18475332274004503</x:v>
      </x:c>
      <x:c r="B249" s="6" t="str">
        <x:v>instagram_DBePt0ntGVD</x:v>
      </x:c>
      <x:c r="C249" s="6" t="str">
        <x:v>Instagram</x:v>
      </x:c>
      <x:c r="D249" s="6" t="str">
        <x:v>DBePt0ntGVD_U13</x:v>
      </x:c>
      <x:c r="E249" s="6" t="str">
        <x:v>@n.reiss</x:v>
      </x:c>
      <x:c r="F249" s="6" t="str">
        <x:v>102 w</x:v>
      </x:c>
      <x:c r="G249" s="6" t="d">
        <x:v>2024-11-01T14:56:14.000Z</x:v>
      </x:c>
      <x:c r="H249" s="6" t="n">
        <x:v>14</x:v>
      </x:c>
      <x:c r="I249" s="6" t="str">
        <x:v>Visible browser DOM extraction; no comment API</x:v>
      </x:c>
      <x:c r="J249" s="6" t="str">
        <x:v>RESEARCH_WORKSPACE/ResearchTools/SaSa_Comment_Collection/data/instagram_gap_batch/DBePt0ntGVD_1792435089749991000.json</x:v>
      </x:c>
      <x:c r="K249" s="6" t="str">
        <x:v>https://www.instagram.com/reel/DBePt0ntGVD/</x:v>
      </x:c>
      <x:c r="L249" s="6" t="str">
        <x:v>2026-10-19 to 2026-10-20 Hong Kong time</x:v>
      </x:c>
      <x:c r="M249" s="6" t="str">
        <x:v>2024_2026_revised_scope</x:v>
      </x:c>
    </x:row>
    <x:row r="250" ht="52" customHeight="1">
      <x:c r="A250" s="6" t="str">
        <x:v>instagram_18050027266961955</x:v>
      </x:c>
      <x:c r="B250" s="6" t="str">
        <x:v>instagram_DBePt0ntGVD</x:v>
      </x:c>
      <x:c r="C250" s="6" t="str">
        <x:v>Instagram</x:v>
      </x:c>
      <x:c r="D250" s="6" t="str">
        <x:v>DBePt0ntGVD_U14</x:v>
      </x:c>
      <x:c r="E250" s="6" t="str">
        <x:v>@ludizum</x:v>
      </x:c>
      <x:c r="F250" s="6" t="str">
        <x:v>102 w</x:v>
      </x:c>
      <x:c r="G250" s="6" t="d">
        <x:v>2024-11-01T12:23:30.000Z</x:v>
      </x:c>
      <x:c r="H250" s="6" t="n">
        <x:v>15</x:v>
      </x:c>
      <x:c r="I250" s="6" t="str">
        <x:v>Visible browser DOM extraction; no comment API</x:v>
      </x:c>
      <x:c r="J250" s="6" t="str">
        <x:v>RESEARCH_WORKSPACE/ResearchTools/SaSa_Comment_Collection/data/instagram_gap_batch/DBePt0ntGVD_1792435089749991000.json</x:v>
      </x:c>
      <x:c r="K250" s="6" t="str">
        <x:v>https://www.instagram.com/reel/DBePt0ntGVD/</x:v>
      </x:c>
      <x:c r="L250" s="6" t="str">
        <x:v>2026-10-19 to 2026-10-20 Hong Kong time</x:v>
      </x:c>
      <x:c r="M250" s="6" t="str">
        <x:v>2024_2026_revised_scope</x:v>
      </x:c>
    </x:row>
    <x:row r="251" ht="52" customHeight="1">
      <x:c r="A251" s="6" t="str">
        <x:v>instagram_17954196144034764</x:v>
      </x:c>
      <x:c r="B251" s="6" t="str">
        <x:v>instagram_DPg7zL-DB7o</x:v>
      </x:c>
      <x:c r="C251" s="6" t="str">
        <x:v>Instagram</x:v>
      </x:c>
      <x:c r="D251" s="6" t="str">
        <x:v>DPg7zL-DB7o_U01</x:v>
      </x:c>
      <x:c r="E251" s="6" t="str">
        <x:v>“I drew it too, do you want to see?”</x:v>
      </x:c>
      <x:c r="F251" s="6" t="str">
        <x:v>50 w</x:v>
      </x:c>
      <x:c r="G251" s="6" t="d">
        <x:v>2025-11-03T16:16:50.000Z</x:v>
      </x:c>
      <x:c r="H251" s="6" t="n">
        <x:v>1</x:v>
      </x:c>
      <x:c r="I251" s="6" t="str">
        <x:v>Visible browser DOM extraction; no comment API</x:v>
      </x:c>
      <x:c r="J251" s="6" t="str">
        <x:v>RESEARCH_WORKSPACE/ResearchTools/SaSa_Comment_Collection/data/instagram_gap_batch/DPg7zL-DB7o_1792435122813044000.json</x:v>
      </x:c>
      <x:c r="K251" s="6" t="str">
        <x:v>https://www.instagram.com/reel/DPg7zL-DB7o/</x:v>
      </x:c>
      <x:c r="L251" s="6" t="str">
        <x:v>2026-10-19 to 2026-10-20 Hong Kong time</x:v>
      </x:c>
      <x:c r="M251" s="6" t="str">
        <x:v>2024_2026_revised_scope</x:v>
      </x:c>
    </x:row>
    <x:row r="252" ht="52" customHeight="1">
      <x:c r="A252" s="6" t="str">
        <x:v>instagram_18090196708923936</x:v>
      </x:c>
      <x:c r="B252" s="6" t="str">
        <x:v>instagram_DPg7zL-DB7o</x:v>
      </x:c>
      <x:c r="C252" s="6" t="str">
        <x:v>Instagram</x:v>
      </x:c>
      <x:c r="D252" s="6" t="str">
        <x:v>DPg7zL-DB7o_U02</x:v>
      </x:c>
      <x:c r="E252" s="6" t="str">
        <x:v>The spider was spot on! 🕷🏆</x:v>
      </x:c>
      <x:c r="F252" s="6" t="str">
        <x:v>50 w</x:v>
      </x:c>
      <x:c r="G252" s="6" t="d">
        <x:v>2025-11-01T10:08:32.000Z</x:v>
      </x:c>
      <x:c r="H252" s="6" t="n">
        <x:v>2</x:v>
      </x:c>
      <x:c r="I252" s="6" t="str">
        <x:v>Visible browser DOM extraction; no comment API</x:v>
      </x:c>
      <x:c r="J252" s="6" t="str">
        <x:v>RESEARCH_WORKSPACE/ResearchTools/SaSa_Comment_Collection/data/instagram_gap_batch/DPg7zL-DB7o_1792435122813044000.json</x:v>
      </x:c>
      <x:c r="K252" s="6" t="str">
        <x:v>https://www.instagram.com/reel/DPg7zL-DB7o/</x:v>
      </x:c>
      <x:c r="L252" s="6" t="str">
        <x:v>2026-10-19 to 2026-10-20 Hong Kong time</x:v>
      </x:c>
      <x:c r="M252" s="6" t="str">
        <x:v>2024_2026_revised_scope</x:v>
      </x:c>
    </x:row>
    <x:row r="253" ht="52" customHeight="1">
      <x:c r="A253" s="6" t="str">
        <x:v>instagram_17913402174231264</x:v>
      </x:c>
      <x:c r="B253" s="6" t="str">
        <x:v>instagram_DPg7zL-DB7o</x:v>
      </x:c>
      <x:c r="C253" s="6" t="str">
        <x:v>Instagram</x:v>
      </x:c>
      <x:c r="D253" s="6" t="str">
        <x:v>DPg7zL-DB7o_U03</x:v>
      </x:c>
      <x:c r="E253" s="6" t="str">
        <x:v>I love the ideas! Although I don't get the first one, can anyone tell me what it is?</x:v>
      </x:c>
      <x:c r="F253" s="6" t="str">
        <x:v>50 w</x:v>
      </x:c>
      <x:c r="G253" s="6" t="d">
        <x:v>2025-11-01T06:50:38.000Z</x:v>
      </x:c>
      <x:c r="H253" s="6" t="n">
        <x:v>3</x:v>
      </x:c>
      <x:c r="I253" s="6" t="str">
        <x:v>Visible browser DOM extraction; no comment API</x:v>
      </x:c>
      <x:c r="J253" s="6" t="str">
        <x:v>RESEARCH_WORKSPACE/ResearchTools/SaSa_Comment_Collection/data/instagram_gap_batch/DPg7zL-DB7o_1792435122813044000.json</x:v>
      </x:c>
      <x:c r="K253" s="6" t="str">
        <x:v>https://www.instagram.com/reel/DPg7zL-DB7o/</x:v>
      </x:c>
      <x:c r="L253" s="6" t="str">
        <x:v>2026-10-19 to 2026-10-20 Hong Kong time</x:v>
      </x:c>
      <x:c r="M253" s="6" t="str">
        <x:v>2024_2026_revised_scope</x:v>
      </x:c>
    </x:row>
    <x:row r="254" ht="52" customHeight="1">
      <x:c r="A254" s="6" t="str">
        <x:v>instagram_18063362225146488</x:v>
      </x:c>
      <x:c r="B254" s="6" t="str">
        <x:v>instagram_DPg7zL-DB7o</x:v>
      </x:c>
      <x:c r="C254" s="6" t="str">
        <x:v>Instagram</x:v>
      </x:c>
      <x:c r="D254" s="6" t="str">
        <x:v>DPg7zL-DB7o_U04</x:v>
      </x:c>
      <x:c r="E254" s="6" t="str">
        <x:v>Whats the Red product???</x:v>
      </x:c>
      <x:c r="F254" s="6" t="str">
        <x:v>50 w</x:v>
      </x:c>
      <x:c r="G254" s="6" t="d">
        <x:v>2025-11-01T03:35:06.000Z</x:v>
      </x:c>
      <x:c r="H254" s="6" t="n">
        <x:v>4</x:v>
      </x:c>
      <x:c r="I254" s="6" t="str">
        <x:v>Visible browser DOM extraction; no comment API</x:v>
      </x:c>
      <x:c r="J254" s="6" t="str">
        <x:v>RESEARCH_WORKSPACE/ResearchTools/SaSa_Comment_Collection/data/instagram_gap_batch/DPg7zL-DB7o_1792435122813044000.json</x:v>
      </x:c>
      <x:c r="K254" s="6" t="str">
        <x:v>https://www.instagram.com/reel/DPg7zL-DB7o/</x:v>
      </x:c>
      <x:c r="L254" s="6" t="str">
        <x:v>2026-10-19 to 2026-10-20 Hong Kong time</x:v>
      </x:c>
      <x:c r="M254" s="6" t="str">
        <x:v>2024_2026_revised_scope</x:v>
      </x:c>
    </x:row>
    <x:row r="255" ht="52" customHeight="1">
      <x:c r="A255" s="6" t="str">
        <x:v>instagram_18084486589824803</x:v>
      </x:c>
      <x:c r="B255" s="6" t="str">
        <x:v>instagram_DPg7zL-DB7o</x:v>
      </x:c>
      <x:c r="C255" s="6" t="str">
        <x:v>Instagram</x:v>
      </x:c>
      <x:c r="D255" s="6" t="str">
        <x:v>DPg7zL-DB7o_U05</x:v>
      </x:c>
      <x:c r="E255" s="6" t="str">
        <x:v>Gostei do 3.</x:v>
      </x:c>
      <x:c r="F255" s="6" t="str">
        <x:v>50 w</x:v>
      </x:c>
      <x:c r="G255" s="6" t="d">
        <x:v>2025-11-01T03:28:56.000Z</x:v>
      </x:c>
      <x:c r="H255" s="6" t="n">
        <x:v>5</x:v>
      </x:c>
      <x:c r="I255" s="6" t="str">
        <x:v>Visible browser DOM extraction; no comment API</x:v>
      </x:c>
      <x:c r="J255" s="6" t="str">
        <x:v>RESEARCH_WORKSPACE/ResearchTools/SaSa_Comment_Collection/data/instagram_gap_batch/DPg7zL-DB7o_1792435122813044000.json</x:v>
      </x:c>
      <x:c r="K255" s="6" t="str">
        <x:v>https://www.instagram.com/reel/DPg7zL-DB7o/</x:v>
      </x:c>
      <x:c r="L255" s="6" t="str">
        <x:v>2026-10-19 to 2026-10-20 Hong Kong time</x:v>
      </x:c>
      <x:c r="M255" s="6" t="str">
        <x:v>2024_2026_revised_scope</x:v>
      </x:c>
    </x:row>
    <x:row r="256" ht="52" customHeight="1">
      <x:c r="A256" s="6" t="str">
        <x:v>instagram_18111581035508999</x:v>
      </x:c>
      <x:c r="B256" s="6" t="str">
        <x:v>instagram_DPg7zL-DB7o</x:v>
      </x:c>
      <x:c r="C256" s="6" t="str">
        <x:v>Instagram</x:v>
      </x:c>
      <x:c r="D256" s="6" t="str">
        <x:v>DPg7zL-DB7o_U06</x:v>
      </x:c>
      <x:c r="E256" s="6" t="str">
        <x:v>Wow 😍</x:v>
      </x:c>
      <x:c r="F256" s="6" t="str">
        <x:v>50 w</x:v>
      </x:c>
      <x:c r="G256" s="6" t="d">
        <x:v>2025-10-31T20:17:19.000Z</x:v>
      </x:c>
      <x:c r="H256" s="6" t="n">
        <x:v>6</x:v>
      </x:c>
      <x:c r="I256" s="6" t="str">
        <x:v>Visible browser DOM extraction; no comment API</x:v>
      </x:c>
      <x:c r="J256" s="6" t="str">
        <x:v>RESEARCH_WORKSPACE/ResearchTools/SaSa_Comment_Collection/data/instagram_gap_batch/DPg7zL-DB7o_1792435122813044000.json</x:v>
      </x:c>
      <x:c r="K256" s="6" t="str">
        <x:v>https://www.instagram.com/reel/DPg7zL-DB7o/</x:v>
      </x:c>
      <x:c r="L256" s="6" t="str">
        <x:v>2026-10-19 to 2026-10-20 Hong Kong time</x:v>
      </x:c>
      <x:c r="M256" s="6" t="str">
        <x:v>2024_2026_revised_scope</x:v>
      </x:c>
    </x:row>
    <x:row r="257" ht="52" customHeight="1">
      <x:c r="A257" s="6" t="str">
        <x:v>instagram_18331881349233519</x:v>
      </x:c>
      <x:c r="B257" s="6" t="str">
        <x:v>instagram_DPg7zL-DB7o</x:v>
      </x:c>
      <x:c r="C257" s="6" t="str">
        <x:v>Instagram</x:v>
      </x:c>
      <x:c r="D257" s="6" t="str">
        <x:v>DPg7zL-DB7o_U07</x:v>
      </x:c>
      <x:c r="E257" s="6" t="str">
        <x:v>That's not easy for me.. :(</x:v>
      </x:c>
      <x:c r="F257" s="6" t="str">
        <x:v>50 w</x:v>
      </x:c>
      <x:c r="G257" s="6" t="d">
        <x:v>2025-10-31T11:33:38.000Z</x:v>
      </x:c>
      <x:c r="H257" s="6" t="n">
        <x:v>7</x:v>
      </x:c>
      <x:c r="I257" s="6" t="str">
        <x:v>Visible browser DOM extraction; no comment API</x:v>
      </x:c>
      <x:c r="J257" s="6" t="str">
        <x:v>RESEARCH_WORKSPACE/ResearchTools/SaSa_Comment_Collection/data/instagram_gap_batch/DPg7zL-DB7o_1792435122813044000.json</x:v>
      </x:c>
      <x:c r="K257" s="6" t="str">
        <x:v>https://www.instagram.com/reel/DPg7zL-DB7o/</x:v>
      </x:c>
      <x:c r="L257" s="6" t="str">
        <x:v>2026-10-19 to 2026-10-20 Hong Kong time</x:v>
      </x:c>
      <x:c r="M257" s="6" t="str">
        <x:v>2024_2026_revised_scope</x:v>
      </x:c>
    </x:row>
    <x:row r="258" ht="52" customHeight="1">
      <x:c r="A258" s="6" t="str">
        <x:v>instagram_18529160173039080</x:v>
      </x:c>
      <x:c r="B258" s="6" t="str">
        <x:v>instagram_DPg7zL-DB7o</x:v>
      </x:c>
      <x:c r="C258" s="6" t="str">
        <x:v>Instagram</x:v>
      </x:c>
      <x:c r="D258" s="6" t="str">
        <x:v>DPg7zL-DB7o_U08</x:v>
      </x:c>
      <x:c r="E258" s="6" t="str">
        <x:v>Maravilhosa🔥</x:v>
      </x:c>
      <x:c r="F258" s="6" t="str">
        <x:v>50 w</x:v>
      </x:c>
      <x:c r="G258" s="6" t="d">
        <x:v>2025-10-31T06:52:33.000Z</x:v>
      </x:c>
      <x:c r="H258" s="6" t="n">
        <x:v>8</x:v>
      </x:c>
      <x:c r="I258" s="6" t="str">
        <x:v>Visible browser DOM extraction; no comment API</x:v>
      </x:c>
      <x:c r="J258" s="6" t="str">
        <x:v>RESEARCH_WORKSPACE/ResearchTools/SaSa_Comment_Collection/data/instagram_gap_batch/DPg7zL-DB7o_1792435122813044000.json</x:v>
      </x:c>
      <x:c r="K258" s="6" t="str">
        <x:v>https://www.instagram.com/reel/DPg7zL-DB7o/</x:v>
      </x:c>
      <x:c r="L258" s="6" t="str">
        <x:v>2026-10-19 to 2026-10-20 Hong Kong time</x:v>
      </x:c>
      <x:c r="M258" s="6" t="str">
        <x:v>2024_2026_revised_scope</x:v>
      </x:c>
    </x:row>
    <x:row r="259" ht="52" customHeight="1">
      <x:c r="A259" s="6" t="str">
        <x:v>instagram_18073932338264396</x:v>
      </x:c>
      <x:c r="B259" s="6" t="str">
        <x:v>instagram_DPg7zL-DB7o</x:v>
      </x:c>
      <x:c r="C259" s="6" t="str">
        <x:v>Instagram</x:v>
      </x:c>
      <x:c r="D259" s="6" t="str">
        <x:v>DPg7zL-DB7o_U09</x:v>
      </x:c>
      <x:c r="E259" s="6" t="str">
        <x:v>The spider is really cool!👍🏻👍🏻</x:v>
      </x:c>
      <x:c r="F259" s="6" t="str">
        <x:v>50 w</x:v>
      </x:c>
      <x:c r="G259" s="6" t="d">
        <x:v>2025-10-31T06:33:10.000Z</x:v>
      </x:c>
      <x:c r="H259" s="6" t="n">
        <x:v>9</x:v>
      </x:c>
      <x:c r="I259" s="6" t="str">
        <x:v>Visible browser DOM extraction; no comment API</x:v>
      </x:c>
      <x:c r="J259" s="6" t="str">
        <x:v>RESEARCH_WORKSPACE/ResearchTools/SaSa_Comment_Collection/data/instagram_gap_batch/DPg7zL-DB7o_1792435122813044000.json</x:v>
      </x:c>
      <x:c r="K259" s="6" t="str">
        <x:v>https://www.instagram.com/reel/DPg7zL-DB7o/</x:v>
      </x:c>
      <x:c r="L259" s="6" t="str">
        <x:v>2026-10-19 to 2026-10-20 Hong Kong time</x:v>
      </x:c>
      <x:c r="M259" s="6" t="str">
        <x:v>2024_2026_revised_scope</x:v>
      </x:c>
    </x:row>
    <x:row r="260" ht="52" customHeight="1">
      <x:c r="A260" s="6" t="str">
        <x:v>instagram_18068890037060871</x:v>
      </x:c>
      <x:c r="B260" s="6" t="str">
        <x:v>instagram_DPg7zL-DB7o</x:v>
      </x:c>
      <x:c r="C260" s="6" t="str">
        <x:v>Instagram</x:v>
      </x:c>
      <x:c r="D260" s="6" t="str">
        <x:v>DPg7zL-DB7o_U10</x:v>
      </x:c>
      <x:c r="E260" s="6" t="str">
        <x:v>Que artista 👏👏👏👏👏</x:v>
      </x:c>
      <x:c r="F260" s="6" t="str">
        <x:v>50 w</x:v>
      </x:c>
      <x:c r="G260" s="6" t="d">
        <x:v>2025-10-30T18:53:41.000Z</x:v>
      </x:c>
      <x:c r="H260" s="6" t="n">
        <x:v>10</x:v>
      </x:c>
      <x:c r="I260" s="6" t="str">
        <x:v>Visible browser DOM extraction; no comment API</x:v>
      </x:c>
      <x:c r="J260" s="6" t="str">
        <x:v>RESEARCH_WORKSPACE/ResearchTools/SaSa_Comment_Collection/data/instagram_gap_batch/DPg7zL-DB7o_1792435122813044000.json</x:v>
      </x:c>
      <x:c r="K260" s="6" t="str">
        <x:v>https://www.instagram.com/reel/DPg7zL-DB7o/</x:v>
      </x:c>
      <x:c r="L260" s="6" t="str">
        <x:v>2026-10-19 to 2026-10-20 Hong Kong time</x:v>
      </x:c>
      <x:c r="M260" s="6" t="str">
        <x:v>2024_2026_revised_scope</x:v>
      </x:c>
    </x:row>
    <x:row r="261" ht="52" customHeight="1">
      <x:c r="A261" s="6" t="str">
        <x:v>instagram_17882701308287511</x:v>
      </x:c>
      <x:c r="B261" s="6" t="str">
        <x:v>instagram_DPg7zL-DB7o</x:v>
      </x:c>
      <x:c r="C261" s="6" t="str">
        <x:v>Instagram</x:v>
      </x:c>
      <x:c r="D261" s="6" t="str">
        <x:v>DPg7zL-DB7o_U11</x:v>
      </x:c>
      <x:c r="E261" s="6" t="str">
        <x:v>You’re overestimating my skills…</x:v>
      </x:c>
      <x:c r="F261" s="6" t="str">
        <x:v>50 w</x:v>
      </x:c>
      <x:c r="G261" s="6" t="d">
        <x:v>2025-10-30T04:59:58.000Z</x:v>
      </x:c>
      <x:c r="H261" s="6" t="n">
        <x:v>11</x:v>
      </x:c>
      <x:c r="I261" s="6" t="str">
        <x:v>Visible browser DOM extraction; no comment API</x:v>
      </x:c>
      <x:c r="J261" s="6" t="str">
        <x:v>RESEARCH_WORKSPACE/ResearchTools/SaSa_Comment_Collection/data/instagram_gap_batch/DPg7zL-DB7o_1792435122813044000.json</x:v>
      </x:c>
      <x:c r="K261" s="6" t="str">
        <x:v>https://www.instagram.com/reel/DPg7zL-DB7o/</x:v>
      </x:c>
      <x:c r="L261" s="6" t="str">
        <x:v>2026-10-19 to 2026-10-20 Hong Kong time</x:v>
      </x:c>
      <x:c r="M261" s="6" t="str">
        <x:v>2024_2026_revised_scope</x:v>
      </x:c>
    </x:row>
    <x:row r="262" ht="52" customHeight="1">
      <x:c r="A262" s="6" t="str">
        <x:v>instagram_18489936895073202</x:v>
      </x:c>
      <x:c r="B262" s="6" t="str">
        <x:v>instagram_DPg7zL-DB7o</x:v>
      </x:c>
      <x:c r="C262" s="6" t="str">
        <x:v>Instagram</x:v>
      </x:c>
      <x:c r="D262" s="6" t="str">
        <x:v>DPg7zL-DB7o_U12</x:v>
      </x:c>
      <x:c r="E262" s="6" t="str">
        <x:v>What products do you use for the spider?</x:v>
      </x:c>
      <x:c r="F262" s="6" t="str">
        <x:v>50 w</x:v>
      </x:c>
      <x:c r="G262" s="6" t="d">
        <x:v>2025-10-29T19:22:58.000Z</x:v>
      </x:c>
      <x:c r="H262" s="6" t="n">
        <x:v>12</x:v>
      </x:c>
      <x:c r="I262" s="6" t="str">
        <x:v>Visible browser DOM extraction; no comment API</x:v>
      </x:c>
      <x:c r="J262" s="6" t="str">
        <x:v>RESEARCH_WORKSPACE/ResearchTools/SaSa_Comment_Collection/data/instagram_gap_batch/DPg7zL-DB7o_1792435122813044000.json</x:v>
      </x:c>
      <x:c r="K262" s="6" t="str">
        <x:v>https://www.instagram.com/reel/DPg7zL-DB7o/</x:v>
      </x:c>
      <x:c r="L262" s="6" t="str">
        <x:v>2026-10-19 to 2026-10-20 Hong Kong time</x:v>
      </x:c>
      <x:c r="M262" s="6" t="str">
        <x:v>2024_2026_revised_scope</x:v>
      </x:c>
    </x:row>
    <x:row r="263" ht="52" customHeight="1">
      <x:c r="A263" s="6" t="str">
        <x:v>instagram_18062114609174731</x:v>
      </x:c>
      <x:c r="B263" s="6" t="str">
        <x:v>instagram_DPg7zL-DB7o</x:v>
      </x:c>
      <x:c r="C263" s="6" t="str">
        <x:v>Instagram</x:v>
      </x:c>
      <x:c r="D263" s="6" t="str">
        <x:v>DPg7zL-DB7o_U13</x:v>
      </x:c>
      <x:c r="E263" s="6" t="str">
        <x:v>Those scars were so cool</x:v>
      </x:c>
      <x:c r="F263" s="6" t="str">
        <x:v>50 w</x:v>
      </x:c>
      <x:c r="G263" s="6" t="d">
        <x:v>2025-10-29T07:03:53.000Z</x:v>
      </x:c>
      <x:c r="H263" s="6" t="n">
        <x:v>13</x:v>
      </x:c>
      <x:c r="I263" s="6" t="str">
        <x:v>Visible browser DOM extraction; no comment API</x:v>
      </x:c>
      <x:c r="J263" s="6" t="str">
        <x:v>RESEARCH_WORKSPACE/ResearchTools/SaSa_Comment_Collection/data/instagram_gap_batch/DPg7zL-DB7o_1792435122813044000.json</x:v>
      </x:c>
      <x:c r="K263" s="6" t="str">
        <x:v>https://www.instagram.com/reel/DPg7zL-DB7o/</x:v>
      </x:c>
      <x:c r="L263" s="6" t="str">
        <x:v>2026-10-19 to 2026-10-20 Hong Kong time</x:v>
      </x:c>
      <x:c r="M263" s="6" t="str">
        <x:v>2024_2026_revised_scope</x:v>
      </x:c>
    </x:row>
    <x:row r="264" ht="52" customHeight="1">
      <x:c r="A264" s="6" t="str">
        <x:v>instagram_17912258433236081</x:v>
      </x:c>
      <x:c r="B264" s="6" t="str">
        <x:v>instagram_DPg7zL-DB7o</x:v>
      </x:c>
      <x:c r="C264" s="6" t="str">
        <x:v>Instagram</x:v>
      </x:c>
      <x:c r="D264" s="6" t="str">
        <x:v>DPg7zL-DB7o_U14</x:v>
      </x:c>
      <x:c r="E264" s="6" t="str">
        <x:v>That spider!!!</x:v>
      </x:c>
      <x:c r="F264" s="6" t="str">
        <x:v>50 w</x:v>
      </x:c>
      <x:c r="G264" s="6" t="d">
        <x:v>2025-10-28T23:00:49.000Z</x:v>
      </x:c>
      <x:c r="H264" s="6" t="n">
        <x:v>14</x:v>
      </x:c>
      <x:c r="I264" s="6" t="str">
        <x:v>Visible browser DOM extraction; no comment API</x:v>
      </x:c>
      <x:c r="J264" s="6" t="str">
        <x:v>RESEARCH_WORKSPACE/ResearchTools/SaSa_Comment_Collection/data/instagram_gap_batch/DPg7zL-DB7o_1792435122813044000.json</x:v>
      </x:c>
      <x:c r="K264" s="6" t="str">
        <x:v>https://www.instagram.com/reel/DPg7zL-DB7o/</x:v>
      </x:c>
      <x:c r="L264" s="6" t="str">
        <x:v>2026-10-19 to 2026-10-20 Hong Kong time</x:v>
      </x:c>
      <x:c r="M264" s="6" t="str">
        <x:v>2024_2026_revised_scope</x:v>
      </x:c>
    </x:row>
    <x:row r="265" ht="52" customHeight="1">
      <x:c r="A265" s="6" t="str">
        <x:v>instagram_17997080750841342</x:v>
      </x:c>
      <x:c r="B265" s="6" t="str">
        <x:v>instagram_DPg7zL-DB7o</x:v>
      </x:c>
      <x:c r="C265" s="6" t="str">
        <x:v>Instagram</x:v>
      </x:c>
      <x:c r="D265" s="6" t="str">
        <x:v>DPg7zL-DB7o_U15</x:v>
      </x:c>
      <x:c r="E265" s="6" t="str">
        <x:v>I think those r not easy 😂</x:v>
      </x:c>
      <x:c r="F265" s="6" t="str">
        <x:v>50 w</x:v>
      </x:c>
      <x:c r="G265" s="6" t="d">
        <x:v>2025-10-28T18:38:10.000Z</x:v>
      </x:c>
      <x:c r="H265" s="6" t="n">
        <x:v>15</x:v>
      </x:c>
      <x:c r="I265" s="6" t="str">
        <x:v>Visible browser DOM extraction; no comment API</x:v>
      </x:c>
      <x:c r="J265" s="6" t="str">
        <x:v>RESEARCH_WORKSPACE/ResearchTools/SaSa_Comment_Collection/data/instagram_gap_batch/DPg7zL-DB7o_1792435122813044000.json</x:v>
      </x:c>
      <x:c r="K265" s="6" t="str">
        <x:v>https://www.instagram.com/reel/DPg7zL-DB7o/</x:v>
      </x:c>
      <x:c r="L265" s="6" t="str">
        <x:v>2026-10-19 to 2026-10-20 Hong Kong time</x:v>
      </x:c>
      <x:c r="M265" s="6" t="str">
        <x:v>2024_2026_revised_scope</x:v>
      </x:c>
    </x:row>
  </x:sheetData>
  <x:hyperlinks>
    <x:hyperlink xmlns:ns0="http://schemas.openxmlformats.org/officeDocument/2006/relationships" ref="K2" ns0:id="rIdSaSaSource1"/>
    <x:hyperlink xmlns:ns1="http://schemas.openxmlformats.org/officeDocument/2006/relationships" ref="K3" ns1:id="rIdSaSaSource2"/>
    <x:hyperlink xmlns:ns2="http://schemas.openxmlformats.org/officeDocument/2006/relationships" ref="K4" ns2:id="rIdSaSaSource3"/>
    <x:hyperlink xmlns:ns3="http://schemas.openxmlformats.org/officeDocument/2006/relationships" ref="K5" ns3:id="rIdSaSaSource4"/>
    <x:hyperlink xmlns:ns4="http://schemas.openxmlformats.org/officeDocument/2006/relationships" ref="K6" ns4:id="rIdSaSaSource5"/>
    <x:hyperlink xmlns:ns5="http://schemas.openxmlformats.org/officeDocument/2006/relationships" ref="K7" ns5:id="rIdSaSaSource6"/>
    <x:hyperlink xmlns:ns6="http://schemas.openxmlformats.org/officeDocument/2006/relationships" ref="K8" ns6:id="rIdSaSaSource7"/>
    <x:hyperlink xmlns:ns7="http://schemas.openxmlformats.org/officeDocument/2006/relationships" ref="K9" ns7:id="rIdSaSaSource8"/>
    <x:hyperlink xmlns:ns8="http://schemas.openxmlformats.org/officeDocument/2006/relationships" ref="K10" ns8:id="rIdSaSaSource9"/>
    <x:hyperlink xmlns:ns9="http://schemas.openxmlformats.org/officeDocument/2006/relationships" ref="K11" ns9:id="rIdSaSaSource10"/>
    <x:hyperlink xmlns:ns10="http://schemas.openxmlformats.org/officeDocument/2006/relationships" ref="K12" ns10:id="rIdSaSaSource11"/>
    <x:hyperlink xmlns:ns11="http://schemas.openxmlformats.org/officeDocument/2006/relationships" ref="K13" ns11:id="rIdSaSaSource12"/>
    <x:hyperlink xmlns:ns12="http://schemas.openxmlformats.org/officeDocument/2006/relationships" ref="K14" ns12:id="rIdSaSaSource13"/>
    <x:hyperlink xmlns:ns13="http://schemas.openxmlformats.org/officeDocument/2006/relationships" ref="K15" ns13:id="rIdSaSaSource14"/>
    <x:hyperlink xmlns:ns14="http://schemas.openxmlformats.org/officeDocument/2006/relationships" ref="K16" ns14:id="rIdSaSaSource15"/>
    <x:hyperlink xmlns:ns15="http://schemas.openxmlformats.org/officeDocument/2006/relationships" ref="K17" ns15:id="rIdSaSaSource16"/>
    <x:hyperlink xmlns:ns16="http://schemas.openxmlformats.org/officeDocument/2006/relationships" ref="K18" ns16:id="rIdSaSaSource17"/>
    <x:hyperlink xmlns:ns17="http://schemas.openxmlformats.org/officeDocument/2006/relationships" ref="K19" ns17:id="rIdSaSaSource18"/>
    <x:hyperlink xmlns:ns18="http://schemas.openxmlformats.org/officeDocument/2006/relationships" ref="K20" ns18:id="rIdSaSaSource19"/>
    <x:hyperlink xmlns:ns19="http://schemas.openxmlformats.org/officeDocument/2006/relationships" ref="K21" ns19:id="rIdSaSaSource20"/>
    <x:hyperlink xmlns:ns20="http://schemas.openxmlformats.org/officeDocument/2006/relationships" ref="K22" ns20:id="rIdSaSaSource21"/>
    <x:hyperlink xmlns:ns21="http://schemas.openxmlformats.org/officeDocument/2006/relationships" ref="K23" ns21:id="rIdSaSaSource22"/>
    <x:hyperlink xmlns:ns22="http://schemas.openxmlformats.org/officeDocument/2006/relationships" ref="K24" ns22:id="rIdSaSaSource23"/>
    <x:hyperlink xmlns:ns23="http://schemas.openxmlformats.org/officeDocument/2006/relationships" ref="K25" ns23:id="rIdSaSaSource24"/>
    <x:hyperlink xmlns:ns24="http://schemas.openxmlformats.org/officeDocument/2006/relationships" ref="K26" ns24:id="rIdSaSaSource25"/>
    <x:hyperlink xmlns:ns25="http://schemas.openxmlformats.org/officeDocument/2006/relationships" ref="K27" ns25:id="rIdSaSaSource26"/>
    <x:hyperlink xmlns:ns26="http://schemas.openxmlformats.org/officeDocument/2006/relationships" ref="K28" ns26:id="rIdSaSaSource27"/>
    <x:hyperlink xmlns:ns27="http://schemas.openxmlformats.org/officeDocument/2006/relationships" ref="K29" ns27:id="rIdSaSaSource28"/>
    <x:hyperlink xmlns:ns28="http://schemas.openxmlformats.org/officeDocument/2006/relationships" ref="K30" ns28:id="rIdSaSaSource29"/>
    <x:hyperlink xmlns:ns29="http://schemas.openxmlformats.org/officeDocument/2006/relationships" ref="K31" ns29:id="rIdSaSaSource30"/>
    <x:hyperlink xmlns:ns30="http://schemas.openxmlformats.org/officeDocument/2006/relationships" ref="K32" ns30:id="rIdSaSaSource31"/>
    <x:hyperlink xmlns:ns31="http://schemas.openxmlformats.org/officeDocument/2006/relationships" ref="K33" ns31:id="rIdSaSaSource32"/>
    <x:hyperlink xmlns:ns32="http://schemas.openxmlformats.org/officeDocument/2006/relationships" ref="K34" ns32:id="rIdSaSaSource33"/>
    <x:hyperlink xmlns:ns33="http://schemas.openxmlformats.org/officeDocument/2006/relationships" ref="K35" ns33:id="rIdSaSaSource34"/>
    <x:hyperlink xmlns:ns34="http://schemas.openxmlformats.org/officeDocument/2006/relationships" ref="K36" ns34:id="rIdSaSaSource35"/>
    <x:hyperlink xmlns:ns35="http://schemas.openxmlformats.org/officeDocument/2006/relationships" ref="K37" ns35:id="rIdSaSaSource36"/>
    <x:hyperlink xmlns:ns36="http://schemas.openxmlformats.org/officeDocument/2006/relationships" ref="K38" ns36:id="rIdSaSaSource37"/>
    <x:hyperlink xmlns:ns37="http://schemas.openxmlformats.org/officeDocument/2006/relationships" ref="K39" ns37:id="rIdSaSaSource38"/>
    <x:hyperlink xmlns:ns38="http://schemas.openxmlformats.org/officeDocument/2006/relationships" ref="K40" ns38:id="rIdSaSaSource39"/>
    <x:hyperlink xmlns:ns39="http://schemas.openxmlformats.org/officeDocument/2006/relationships" ref="K41" ns39:id="rIdSaSaSource40"/>
    <x:hyperlink xmlns:ns40="http://schemas.openxmlformats.org/officeDocument/2006/relationships" ref="K42" ns40:id="rIdSaSaSource41"/>
    <x:hyperlink xmlns:ns41="http://schemas.openxmlformats.org/officeDocument/2006/relationships" ref="K43" ns41:id="rIdSaSaSource42"/>
    <x:hyperlink xmlns:ns42="http://schemas.openxmlformats.org/officeDocument/2006/relationships" ref="K44" ns42:id="rIdSaSaSource43"/>
    <x:hyperlink xmlns:ns43="http://schemas.openxmlformats.org/officeDocument/2006/relationships" ref="K45" ns43:id="rIdSaSaSource44"/>
    <x:hyperlink xmlns:ns44="http://schemas.openxmlformats.org/officeDocument/2006/relationships" ref="K46" ns44:id="rIdSaSaSource45"/>
    <x:hyperlink xmlns:ns45="http://schemas.openxmlformats.org/officeDocument/2006/relationships" ref="K47" ns45:id="rIdSaSaSource46"/>
    <x:hyperlink xmlns:ns46="http://schemas.openxmlformats.org/officeDocument/2006/relationships" ref="K48" ns46:id="rIdSaSaSource47"/>
    <x:hyperlink xmlns:ns47="http://schemas.openxmlformats.org/officeDocument/2006/relationships" ref="K49" ns47:id="rIdSaSaSource48"/>
    <x:hyperlink xmlns:ns48="http://schemas.openxmlformats.org/officeDocument/2006/relationships" ref="K50" ns48:id="rIdSaSaSource49"/>
    <x:hyperlink xmlns:ns49="http://schemas.openxmlformats.org/officeDocument/2006/relationships" ref="K51" ns49:id="rIdSaSaSource50"/>
    <x:hyperlink xmlns:ns50="http://schemas.openxmlformats.org/officeDocument/2006/relationships" ref="K52" ns50:id="rIdSaSaSource51"/>
    <x:hyperlink xmlns:ns51="http://schemas.openxmlformats.org/officeDocument/2006/relationships" ref="K53" ns51:id="rIdSaSaSource52"/>
    <x:hyperlink xmlns:ns52="http://schemas.openxmlformats.org/officeDocument/2006/relationships" ref="K54" ns52:id="rIdSaSaSource53"/>
    <x:hyperlink xmlns:ns53="http://schemas.openxmlformats.org/officeDocument/2006/relationships" ref="K55" ns53:id="rIdSaSaSource54"/>
    <x:hyperlink xmlns:ns54="http://schemas.openxmlformats.org/officeDocument/2006/relationships" ref="K56" ns54:id="rIdSaSaSource55"/>
    <x:hyperlink xmlns:ns55="http://schemas.openxmlformats.org/officeDocument/2006/relationships" ref="K57" ns55:id="rIdSaSaSource56"/>
    <x:hyperlink xmlns:ns56="http://schemas.openxmlformats.org/officeDocument/2006/relationships" ref="K58" ns56:id="rIdSaSaSource57"/>
    <x:hyperlink xmlns:ns57="http://schemas.openxmlformats.org/officeDocument/2006/relationships" ref="K59" ns57:id="rIdSaSaSource58"/>
    <x:hyperlink xmlns:ns58="http://schemas.openxmlformats.org/officeDocument/2006/relationships" ref="K60" ns58:id="rIdSaSaSource59"/>
    <x:hyperlink xmlns:ns59="http://schemas.openxmlformats.org/officeDocument/2006/relationships" ref="K61" ns59:id="rIdSaSaSource60"/>
    <x:hyperlink xmlns:ns60="http://schemas.openxmlformats.org/officeDocument/2006/relationships" ref="K62" ns60:id="rIdSaSaSource61"/>
    <x:hyperlink xmlns:ns61="http://schemas.openxmlformats.org/officeDocument/2006/relationships" ref="K63" ns61:id="rIdSaSaSource62"/>
    <x:hyperlink xmlns:ns62="http://schemas.openxmlformats.org/officeDocument/2006/relationships" ref="K64" ns62:id="rIdSaSaSource63"/>
    <x:hyperlink xmlns:ns63="http://schemas.openxmlformats.org/officeDocument/2006/relationships" ref="K65" ns63:id="rIdSaSaSource64"/>
    <x:hyperlink xmlns:ns64="http://schemas.openxmlformats.org/officeDocument/2006/relationships" ref="K66" ns64:id="rIdSaSaSource65"/>
    <x:hyperlink xmlns:ns65="http://schemas.openxmlformats.org/officeDocument/2006/relationships" ref="K67" ns65:id="rIdSaSaSource66"/>
    <x:hyperlink xmlns:ns66="http://schemas.openxmlformats.org/officeDocument/2006/relationships" ref="K68" ns66:id="rIdSaSaSource67"/>
    <x:hyperlink xmlns:ns67="http://schemas.openxmlformats.org/officeDocument/2006/relationships" ref="K69" ns67:id="rIdSaSaSource68"/>
    <x:hyperlink xmlns:ns68="http://schemas.openxmlformats.org/officeDocument/2006/relationships" ref="K70" ns68:id="rIdSaSaSource69"/>
    <x:hyperlink xmlns:ns69="http://schemas.openxmlformats.org/officeDocument/2006/relationships" ref="K71" ns69:id="rIdSaSaSource70"/>
    <x:hyperlink xmlns:ns70="http://schemas.openxmlformats.org/officeDocument/2006/relationships" ref="K72" ns70:id="rIdSaSaSource71"/>
    <x:hyperlink xmlns:ns71="http://schemas.openxmlformats.org/officeDocument/2006/relationships" ref="K73" ns71:id="rIdSaSaSource72"/>
    <x:hyperlink xmlns:ns72="http://schemas.openxmlformats.org/officeDocument/2006/relationships" ref="K74" ns72:id="rIdSaSaSource73"/>
    <x:hyperlink xmlns:ns73="http://schemas.openxmlformats.org/officeDocument/2006/relationships" ref="K75" ns73:id="rIdSaSaSource74"/>
    <x:hyperlink xmlns:ns74="http://schemas.openxmlformats.org/officeDocument/2006/relationships" ref="K76" ns74:id="rIdSaSaSource75"/>
    <x:hyperlink xmlns:ns75="http://schemas.openxmlformats.org/officeDocument/2006/relationships" ref="K77" ns75:id="rIdSaSaSource76"/>
    <x:hyperlink xmlns:ns76="http://schemas.openxmlformats.org/officeDocument/2006/relationships" ref="K78" ns76:id="rIdSaSaSource77"/>
    <x:hyperlink xmlns:ns77="http://schemas.openxmlformats.org/officeDocument/2006/relationships" ref="K79" ns77:id="rIdSaSaSource78"/>
    <x:hyperlink xmlns:ns78="http://schemas.openxmlformats.org/officeDocument/2006/relationships" ref="K80" ns78:id="rIdSaSaSource79"/>
    <x:hyperlink xmlns:ns79="http://schemas.openxmlformats.org/officeDocument/2006/relationships" ref="K81" ns79:id="rIdSaSaSource80"/>
    <x:hyperlink xmlns:ns80="http://schemas.openxmlformats.org/officeDocument/2006/relationships" ref="K82" ns80:id="rIdSaSaSource81"/>
    <x:hyperlink xmlns:ns81="http://schemas.openxmlformats.org/officeDocument/2006/relationships" ref="K83" ns81:id="rIdSaSaSource82"/>
    <x:hyperlink xmlns:ns82="http://schemas.openxmlformats.org/officeDocument/2006/relationships" ref="K84" ns82:id="rIdSaSaSource83"/>
    <x:hyperlink xmlns:ns83="http://schemas.openxmlformats.org/officeDocument/2006/relationships" ref="K85" ns83:id="rIdSaSaSource84"/>
    <x:hyperlink xmlns:ns84="http://schemas.openxmlformats.org/officeDocument/2006/relationships" ref="K86" ns84:id="rIdSaSaSource85"/>
    <x:hyperlink xmlns:ns85="http://schemas.openxmlformats.org/officeDocument/2006/relationships" ref="K87" ns85:id="rIdSaSaSource86"/>
    <x:hyperlink xmlns:ns86="http://schemas.openxmlformats.org/officeDocument/2006/relationships" ref="K88" ns86:id="rIdSaSaSource87"/>
    <x:hyperlink xmlns:ns87="http://schemas.openxmlformats.org/officeDocument/2006/relationships" ref="K89" ns87:id="rIdSaSaSource88"/>
    <x:hyperlink xmlns:ns88="http://schemas.openxmlformats.org/officeDocument/2006/relationships" ref="K90" ns88:id="rIdSaSaSource89"/>
    <x:hyperlink xmlns:ns89="http://schemas.openxmlformats.org/officeDocument/2006/relationships" ref="K91" ns89:id="rIdSaSaSource90"/>
    <x:hyperlink xmlns:ns90="http://schemas.openxmlformats.org/officeDocument/2006/relationships" ref="K92" ns90:id="rIdSaSaSource91"/>
    <x:hyperlink xmlns:ns91="http://schemas.openxmlformats.org/officeDocument/2006/relationships" ref="K93" ns91:id="rIdSaSaSource92"/>
    <x:hyperlink xmlns:ns92="http://schemas.openxmlformats.org/officeDocument/2006/relationships" ref="K94" ns92:id="rIdSaSaSource93"/>
    <x:hyperlink xmlns:ns93="http://schemas.openxmlformats.org/officeDocument/2006/relationships" ref="K95" ns93:id="rIdSaSaSource94"/>
    <x:hyperlink xmlns:ns94="http://schemas.openxmlformats.org/officeDocument/2006/relationships" ref="K96" ns94:id="rIdSaSaSource95"/>
    <x:hyperlink xmlns:ns95="http://schemas.openxmlformats.org/officeDocument/2006/relationships" ref="K97" ns95:id="rIdSaSaSource96"/>
    <x:hyperlink xmlns:ns96="http://schemas.openxmlformats.org/officeDocument/2006/relationships" ref="K98" ns96:id="rIdSaSaSource97"/>
    <x:hyperlink xmlns:ns97="http://schemas.openxmlformats.org/officeDocument/2006/relationships" ref="K99" ns97:id="rIdSaSaSource98"/>
    <x:hyperlink xmlns:ns98="http://schemas.openxmlformats.org/officeDocument/2006/relationships" ref="K100" ns98:id="rIdSaSaSource99"/>
    <x:hyperlink xmlns:ns99="http://schemas.openxmlformats.org/officeDocument/2006/relationships" ref="K101" ns99:id="rIdSaSaSource100"/>
    <x:hyperlink xmlns:ns100="http://schemas.openxmlformats.org/officeDocument/2006/relationships" ref="K102" ns100:id="rIdSaSaSource101"/>
    <x:hyperlink xmlns:ns101="http://schemas.openxmlformats.org/officeDocument/2006/relationships" ref="K103" ns101:id="rIdSaSaSource102"/>
    <x:hyperlink xmlns:ns102="http://schemas.openxmlformats.org/officeDocument/2006/relationships" ref="K104" ns102:id="rIdSaSaSource103"/>
    <x:hyperlink xmlns:ns103="http://schemas.openxmlformats.org/officeDocument/2006/relationships" ref="K105" ns103:id="rIdSaSaSource104"/>
    <x:hyperlink xmlns:ns104="http://schemas.openxmlformats.org/officeDocument/2006/relationships" ref="K106" ns104:id="rIdSaSaSource105"/>
    <x:hyperlink xmlns:ns105="http://schemas.openxmlformats.org/officeDocument/2006/relationships" ref="K107" ns105:id="rIdSaSaSource106"/>
    <x:hyperlink xmlns:ns106="http://schemas.openxmlformats.org/officeDocument/2006/relationships" ref="K108" ns106:id="rIdSaSaSource107"/>
    <x:hyperlink xmlns:ns107="http://schemas.openxmlformats.org/officeDocument/2006/relationships" ref="K109" ns107:id="rIdSaSaSource108"/>
    <x:hyperlink xmlns:ns108="http://schemas.openxmlformats.org/officeDocument/2006/relationships" ref="K110" ns108:id="rIdSaSaSource109"/>
    <x:hyperlink xmlns:ns109="http://schemas.openxmlformats.org/officeDocument/2006/relationships" ref="K111" ns109:id="rIdSaSaSource110"/>
    <x:hyperlink xmlns:ns110="http://schemas.openxmlformats.org/officeDocument/2006/relationships" ref="K112" ns110:id="rIdSaSaSource111"/>
    <x:hyperlink xmlns:ns111="http://schemas.openxmlformats.org/officeDocument/2006/relationships" ref="K113" ns111:id="rIdSaSaSource112"/>
    <x:hyperlink xmlns:ns112="http://schemas.openxmlformats.org/officeDocument/2006/relationships" ref="K114" ns112:id="rIdSaSaSource113"/>
    <x:hyperlink xmlns:ns113="http://schemas.openxmlformats.org/officeDocument/2006/relationships" ref="K115" ns113:id="rIdSaSaSource114"/>
    <x:hyperlink xmlns:ns114="http://schemas.openxmlformats.org/officeDocument/2006/relationships" ref="K116" ns114:id="rIdSaSaSource115"/>
    <x:hyperlink xmlns:ns115="http://schemas.openxmlformats.org/officeDocument/2006/relationships" ref="K117" ns115:id="rIdSaSaSource116"/>
    <x:hyperlink xmlns:ns116="http://schemas.openxmlformats.org/officeDocument/2006/relationships" ref="K118" ns116:id="rIdSaSaSource117"/>
    <x:hyperlink xmlns:ns117="http://schemas.openxmlformats.org/officeDocument/2006/relationships" ref="K119" ns117:id="rIdSaSaSource118"/>
    <x:hyperlink xmlns:ns118="http://schemas.openxmlformats.org/officeDocument/2006/relationships" ref="K120" ns118:id="rIdSaSaSource119"/>
    <x:hyperlink xmlns:ns119="http://schemas.openxmlformats.org/officeDocument/2006/relationships" ref="K121" ns119:id="rIdSaSaSource120"/>
    <x:hyperlink xmlns:ns120="http://schemas.openxmlformats.org/officeDocument/2006/relationships" ref="K122" ns120:id="rIdSaSaSource121"/>
    <x:hyperlink xmlns:ns121="http://schemas.openxmlformats.org/officeDocument/2006/relationships" ref="K123" ns121:id="rIdSaSaSource122"/>
    <x:hyperlink xmlns:ns122="http://schemas.openxmlformats.org/officeDocument/2006/relationships" ref="K124" ns122:id="rIdSaSaSource123"/>
    <x:hyperlink xmlns:ns123="http://schemas.openxmlformats.org/officeDocument/2006/relationships" ref="K125" ns123:id="rIdSaSaSource124"/>
    <x:hyperlink xmlns:ns124="http://schemas.openxmlformats.org/officeDocument/2006/relationships" ref="K126" ns124:id="rIdSaSaSource125"/>
    <x:hyperlink xmlns:ns125="http://schemas.openxmlformats.org/officeDocument/2006/relationships" ref="K127" ns125:id="rIdSaSaSource126"/>
    <x:hyperlink xmlns:ns126="http://schemas.openxmlformats.org/officeDocument/2006/relationships" ref="K128" ns126:id="rIdSaSaSource127"/>
    <x:hyperlink xmlns:ns127="http://schemas.openxmlformats.org/officeDocument/2006/relationships" ref="K129" ns127:id="rIdSaSaSource128"/>
    <x:hyperlink xmlns:ns128="http://schemas.openxmlformats.org/officeDocument/2006/relationships" ref="K130" ns128:id="rIdSaSaSource129"/>
    <x:hyperlink xmlns:ns129="http://schemas.openxmlformats.org/officeDocument/2006/relationships" ref="K131" ns129:id="rIdSaSaSource130"/>
    <x:hyperlink xmlns:ns130="http://schemas.openxmlformats.org/officeDocument/2006/relationships" ref="K132" ns130:id="rIdSaSaSource131"/>
    <x:hyperlink xmlns:ns131="http://schemas.openxmlformats.org/officeDocument/2006/relationships" ref="K133" ns131:id="rIdSaSaSource132"/>
    <x:hyperlink xmlns:ns132="http://schemas.openxmlformats.org/officeDocument/2006/relationships" ref="K134" ns132:id="rIdSaSaSource133"/>
    <x:hyperlink xmlns:ns133="http://schemas.openxmlformats.org/officeDocument/2006/relationships" ref="K135" ns133:id="rIdSaSaSource134"/>
    <x:hyperlink xmlns:ns134="http://schemas.openxmlformats.org/officeDocument/2006/relationships" ref="K136" ns134:id="rIdSaSaSource135"/>
    <x:hyperlink xmlns:ns135="http://schemas.openxmlformats.org/officeDocument/2006/relationships" ref="K137" ns135:id="rIdSaSaSource136"/>
    <x:hyperlink xmlns:ns136="http://schemas.openxmlformats.org/officeDocument/2006/relationships" ref="K138" ns136:id="rIdSaSaSource137"/>
    <x:hyperlink xmlns:ns137="http://schemas.openxmlformats.org/officeDocument/2006/relationships" ref="K139" ns137:id="rIdSaSaSource138"/>
    <x:hyperlink xmlns:ns138="http://schemas.openxmlformats.org/officeDocument/2006/relationships" ref="K140" ns138:id="rIdSaSaSource139"/>
    <x:hyperlink xmlns:ns139="http://schemas.openxmlformats.org/officeDocument/2006/relationships" ref="K141" ns139:id="rIdSaSaSource140"/>
    <x:hyperlink xmlns:ns140="http://schemas.openxmlformats.org/officeDocument/2006/relationships" ref="K142" ns140:id="rIdSaSaSource141"/>
    <x:hyperlink xmlns:ns141="http://schemas.openxmlformats.org/officeDocument/2006/relationships" ref="K143" ns141:id="rIdSaSaSource142"/>
    <x:hyperlink xmlns:ns142="http://schemas.openxmlformats.org/officeDocument/2006/relationships" ref="K144" ns142:id="rIdSaSaSource143"/>
    <x:hyperlink xmlns:ns143="http://schemas.openxmlformats.org/officeDocument/2006/relationships" ref="K145" ns143:id="rIdSaSaSource144"/>
    <x:hyperlink xmlns:ns144="http://schemas.openxmlformats.org/officeDocument/2006/relationships" ref="K146" ns144:id="rIdSaSaSource145"/>
    <x:hyperlink xmlns:ns145="http://schemas.openxmlformats.org/officeDocument/2006/relationships" ref="K147" ns145:id="rIdSaSaSource146"/>
    <x:hyperlink xmlns:ns146="http://schemas.openxmlformats.org/officeDocument/2006/relationships" ref="K148" ns146:id="rIdSaSaSource147"/>
    <x:hyperlink xmlns:ns147="http://schemas.openxmlformats.org/officeDocument/2006/relationships" ref="K149" ns147:id="rIdSaSaSource148"/>
    <x:hyperlink xmlns:ns148="http://schemas.openxmlformats.org/officeDocument/2006/relationships" ref="K150" ns148:id="rIdSaSaSource149"/>
    <x:hyperlink xmlns:ns149="http://schemas.openxmlformats.org/officeDocument/2006/relationships" ref="K151" ns149:id="rIdSaSaSource150"/>
    <x:hyperlink xmlns:ns150="http://schemas.openxmlformats.org/officeDocument/2006/relationships" ref="K152" ns150:id="rIdSaSaSource151"/>
    <x:hyperlink xmlns:ns151="http://schemas.openxmlformats.org/officeDocument/2006/relationships" ref="K153" ns151:id="rIdSaSaSource152"/>
    <x:hyperlink xmlns:ns152="http://schemas.openxmlformats.org/officeDocument/2006/relationships" ref="K154" ns152:id="rIdSaSaSource153"/>
    <x:hyperlink xmlns:ns153="http://schemas.openxmlformats.org/officeDocument/2006/relationships" ref="K155" ns153:id="rIdSaSaSource154"/>
    <x:hyperlink xmlns:ns154="http://schemas.openxmlformats.org/officeDocument/2006/relationships" ref="K156" ns154:id="rIdSaSaSource155"/>
    <x:hyperlink xmlns:ns155="http://schemas.openxmlformats.org/officeDocument/2006/relationships" ref="K157" ns155:id="rIdSaSaSource156"/>
    <x:hyperlink xmlns:ns156="http://schemas.openxmlformats.org/officeDocument/2006/relationships" ref="K158" ns156:id="rIdSaSaSource157"/>
    <x:hyperlink xmlns:ns157="http://schemas.openxmlformats.org/officeDocument/2006/relationships" ref="K159" ns157:id="rIdSaSaSource158"/>
    <x:hyperlink xmlns:ns158="http://schemas.openxmlformats.org/officeDocument/2006/relationships" ref="K160" ns158:id="rIdSaSaSource159"/>
    <x:hyperlink xmlns:ns159="http://schemas.openxmlformats.org/officeDocument/2006/relationships" ref="K161" ns159:id="rIdSaSaSource160"/>
    <x:hyperlink xmlns:ns160="http://schemas.openxmlformats.org/officeDocument/2006/relationships" ref="K162" ns160:id="rIdSaSaSource161"/>
    <x:hyperlink xmlns:ns161="http://schemas.openxmlformats.org/officeDocument/2006/relationships" ref="K163" ns161:id="rIdSaSaSource162"/>
    <x:hyperlink xmlns:ns162="http://schemas.openxmlformats.org/officeDocument/2006/relationships" ref="K164" ns162:id="rIdSaSaSource163"/>
    <x:hyperlink xmlns:ns163="http://schemas.openxmlformats.org/officeDocument/2006/relationships" ref="K165" ns163:id="rIdSaSaSource164"/>
    <x:hyperlink xmlns:ns164="http://schemas.openxmlformats.org/officeDocument/2006/relationships" ref="K166" ns164:id="rIdSaSaSource165"/>
    <x:hyperlink xmlns:ns165="http://schemas.openxmlformats.org/officeDocument/2006/relationships" ref="K167" ns165:id="rIdSaSaSource166"/>
    <x:hyperlink xmlns:ns166="http://schemas.openxmlformats.org/officeDocument/2006/relationships" ref="K168" ns166:id="rIdSaSaSource167"/>
    <x:hyperlink xmlns:ns167="http://schemas.openxmlformats.org/officeDocument/2006/relationships" ref="K169" ns167:id="rIdSaSaSource168"/>
    <x:hyperlink xmlns:ns168="http://schemas.openxmlformats.org/officeDocument/2006/relationships" ref="K170" ns168:id="rIdSaSaSource169"/>
    <x:hyperlink xmlns:ns169="http://schemas.openxmlformats.org/officeDocument/2006/relationships" ref="K171" ns169:id="rIdSaSaSource170"/>
    <x:hyperlink xmlns:ns170="http://schemas.openxmlformats.org/officeDocument/2006/relationships" ref="K172" ns170:id="rIdSaSaSource171"/>
    <x:hyperlink xmlns:ns171="http://schemas.openxmlformats.org/officeDocument/2006/relationships" ref="K173" ns171:id="rIdSaSaSource172"/>
    <x:hyperlink xmlns:ns172="http://schemas.openxmlformats.org/officeDocument/2006/relationships" ref="K174" ns172:id="rIdSaSaSource173"/>
    <x:hyperlink xmlns:ns173="http://schemas.openxmlformats.org/officeDocument/2006/relationships" ref="K175" ns173:id="rIdSaSaSource174"/>
    <x:hyperlink xmlns:ns174="http://schemas.openxmlformats.org/officeDocument/2006/relationships" ref="K176" ns174:id="rIdSaSaSource175"/>
    <x:hyperlink xmlns:ns175="http://schemas.openxmlformats.org/officeDocument/2006/relationships" ref="K177" ns175:id="rIdSaSaSource176"/>
    <x:hyperlink xmlns:ns176="http://schemas.openxmlformats.org/officeDocument/2006/relationships" ref="K178" ns176:id="rIdSaSaSource177"/>
    <x:hyperlink xmlns:ns177="http://schemas.openxmlformats.org/officeDocument/2006/relationships" ref="K179" ns177:id="rIdSaSaSource178"/>
    <x:hyperlink xmlns:ns178="http://schemas.openxmlformats.org/officeDocument/2006/relationships" ref="K180" ns178:id="rIdSaSaSource179"/>
    <x:hyperlink xmlns:ns179="http://schemas.openxmlformats.org/officeDocument/2006/relationships" ref="K181" ns179:id="rIdSaSaSource180"/>
    <x:hyperlink xmlns:ns180="http://schemas.openxmlformats.org/officeDocument/2006/relationships" ref="K182" ns180:id="rIdSaSaSource181"/>
    <x:hyperlink xmlns:ns181="http://schemas.openxmlformats.org/officeDocument/2006/relationships" ref="K183" ns181:id="rIdSaSaSource182"/>
    <x:hyperlink xmlns:ns182="http://schemas.openxmlformats.org/officeDocument/2006/relationships" ref="K184" ns182:id="rIdSaSaSource183"/>
    <x:hyperlink xmlns:ns183="http://schemas.openxmlformats.org/officeDocument/2006/relationships" ref="K185" ns183:id="rIdSaSaSource184"/>
    <x:hyperlink xmlns:ns184="http://schemas.openxmlformats.org/officeDocument/2006/relationships" ref="K186" ns184:id="rIdSaSaSource185"/>
    <x:hyperlink xmlns:ns185="http://schemas.openxmlformats.org/officeDocument/2006/relationships" ref="K187" ns185:id="rIdSaSaSource186"/>
    <x:hyperlink xmlns:ns186="http://schemas.openxmlformats.org/officeDocument/2006/relationships" ref="K188" ns186:id="rIdSaSaSource187"/>
    <x:hyperlink xmlns:ns187="http://schemas.openxmlformats.org/officeDocument/2006/relationships" ref="K189" ns187:id="rIdSaSaSource188"/>
    <x:hyperlink xmlns:ns188="http://schemas.openxmlformats.org/officeDocument/2006/relationships" ref="K190" ns188:id="rIdSaSaSource189"/>
    <x:hyperlink xmlns:ns189="http://schemas.openxmlformats.org/officeDocument/2006/relationships" ref="K191" ns189:id="rIdSaSaSource190"/>
    <x:hyperlink xmlns:ns190="http://schemas.openxmlformats.org/officeDocument/2006/relationships" ref="K192" ns190:id="rIdSaSaSource191"/>
    <x:hyperlink xmlns:ns191="http://schemas.openxmlformats.org/officeDocument/2006/relationships" ref="K193" ns191:id="rIdSaSaSource192"/>
    <x:hyperlink xmlns:ns192="http://schemas.openxmlformats.org/officeDocument/2006/relationships" ref="K194" ns192:id="rIdSaSaSource193"/>
    <x:hyperlink xmlns:ns193="http://schemas.openxmlformats.org/officeDocument/2006/relationships" ref="K195" ns193:id="rIdSaSaSource194"/>
    <x:hyperlink xmlns:ns194="http://schemas.openxmlformats.org/officeDocument/2006/relationships" ref="K196" ns194:id="rIdSaSaSource195"/>
    <x:hyperlink xmlns:ns195="http://schemas.openxmlformats.org/officeDocument/2006/relationships" ref="K197" ns195:id="rIdSaSaSource196"/>
    <x:hyperlink xmlns:ns196="http://schemas.openxmlformats.org/officeDocument/2006/relationships" ref="K198" ns196:id="rIdSaSaSource197"/>
    <x:hyperlink xmlns:ns197="http://schemas.openxmlformats.org/officeDocument/2006/relationships" ref="K199" ns197:id="rIdSaSaSource198"/>
    <x:hyperlink xmlns:ns198="http://schemas.openxmlformats.org/officeDocument/2006/relationships" ref="K200" ns198:id="rIdSaSaSource199"/>
    <x:hyperlink xmlns:ns199="http://schemas.openxmlformats.org/officeDocument/2006/relationships" ref="K201" ns199:id="rIdSaSaSource200"/>
    <x:hyperlink xmlns:ns200="http://schemas.openxmlformats.org/officeDocument/2006/relationships" ref="K202" ns200:id="rIdSaSaSource201"/>
    <x:hyperlink xmlns:ns201="http://schemas.openxmlformats.org/officeDocument/2006/relationships" ref="K203" ns201:id="rIdSaSaSource202"/>
    <x:hyperlink xmlns:ns202="http://schemas.openxmlformats.org/officeDocument/2006/relationships" ref="K204" ns202:id="rIdSaSaSource203"/>
    <x:hyperlink xmlns:ns203="http://schemas.openxmlformats.org/officeDocument/2006/relationships" ref="K205" ns203:id="rIdSaSaSource204"/>
    <x:hyperlink xmlns:ns204="http://schemas.openxmlformats.org/officeDocument/2006/relationships" ref="K206" ns204:id="rIdSaSaSource205"/>
    <x:hyperlink xmlns:ns205="http://schemas.openxmlformats.org/officeDocument/2006/relationships" ref="K207" ns205:id="rIdSaSaSource206"/>
    <x:hyperlink xmlns:ns206="http://schemas.openxmlformats.org/officeDocument/2006/relationships" ref="K208" ns206:id="rIdSaSaSource207"/>
    <x:hyperlink xmlns:ns207="http://schemas.openxmlformats.org/officeDocument/2006/relationships" ref="K209" ns207:id="rIdSaSaSource208"/>
    <x:hyperlink xmlns:ns208="http://schemas.openxmlformats.org/officeDocument/2006/relationships" ref="K210" ns208:id="rIdSaSaSource209"/>
    <x:hyperlink xmlns:ns209="http://schemas.openxmlformats.org/officeDocument/2006/relationships" ref="K211" ns209:id="rIdSaSaSource210"/>
    <x:hyperlink xmlns:ns210="http://schemas.openxmlformats.org/officeDocument/2006/relationships" ref="K212" ns210:id="rIdSaSaSource211"/>
    <x:hyperlink xmlns:ns211="http://schemas.openxmlformats.org/officeDocument/2006/relationships" ref="K213" ns211:id="rIdSaSaSource212"/>
    <x:hyperlink xmlns:ns212="http://schemas.openxmlformats.org/officeDocument/2006/relationships" ref="K214" ns212:id="rIdSaSaSource213"/>
    <x:hyperlink xmlns:ns213="http://schemas.openxmlformats.org/officeDocument/2006/relationships" ref="K215" ns213:id="rIdSaSaSource214"/>
    <x:hyperlink xmlns:ns214="http://schemas.openxmlformats.org/officeDocument/2006/relationships" ref="K216" ns214:id="rIdSaSaSource215"/>
    <x:hyperlink xmlns:ns215="http://schemas.openxmlformats.org/officeDocument/2006/relationships" ref="K217" ns215:id="rIdSaSaSource216"/>
    <x:hyperlink xmlns:ns216="http://schemas.openxmlformats.org/officeDocument/2006/relationships" ref="K218" ns216:id="rIdSaSaSource217"/>
    <x:hyperlink xmlns:ns217="http://schemas.openxmlformats.org/officeDocument/2006/relationships" ref="K219" ns217:id="rIdSaSaSource218"/>
    <x:hyperlink xmlns:ns218="http://schemas.openxmlformats.org/officeDocument/2006/relationships" ref="K220" ns218:id="rIdSaSaSource219"/>
    <x:hyperlink xmlns:ns219="http://schemas.openxmlformats.org/officeDocument/2006/relationships" ref="K221" ns219:id="rIdSaSaSource220"/>
    <x:hyperlink xmlns:ns220="http://schemas.openxmlformats.org/officeDocument/2006/relationships" ref="K222" ns220:id="rIdSaSaSource221"/>
    <x:hyperlink xmlns:ns221="http://schemas.openxmlformats.org/officeDocument/2006/relationships" ref="K223" ns221:id="rIdSaSaSource222"/>
    <x:hyperlink xmlns:ns222="http://schemas.openxmlformats.org/officeDocument/2006/relationships" ref="K224" ns222:id="rIdSaSaSource223"/>
    <x:hyperlink xmlns:ns223="http://schemas.openxmlformats.org/officeDocument/2006/relationships" ref="K225" ns223:id="rIdSaSaSource224"/>
    <x:hyperlink xmlns:ns224="http://schemas.openxmlformats.org/officeDocument/2006/relationships" ref="K226" ns224:id="rIdSaSaSource225"/>
    <x:hyperlink xmlns:ns225="http://schemas.openxmlformats.org/officeDocument/2006/relationships" ref="K227" ns225:id="rIdSaSaSource226"/>
    <x:hyperlink xmlns:ns226="http://schemas.openxmlformats.org/officeDocument/2006/relationships" ref="K228" ns226:id="rIdSaSaSource227"/>
    <x:hyperlink xmlns:ns227="http://schemas.openxmlformats.org/officeDocument/2006/relationships" ref="K229" ns227:id="rIdSaSaSource228"/>
    <x:hyperlink xmlns:ns228="http://schemas.openxmlformats.org/officeDocument/2006/relationships" ref="K230" ns228:id="rIdSaSaSource229"/>
    <x:hyperlink xmlns:ns229="http://schemas.openxmlformats.org/officeDocument/2006/relationships" ref="K231" ns229:id="rIdSaSaSource230"/>
    <x:hyperlink xmlns:ns230="http://schemas.openxmlformats.org/officeDocument/2006/relationships" ref="K232" ns230:id="rIdSaSaSource231"/>
    <x:hyperlink xmlns:ns231="http://schemas.openxmlformats.org/officeDocument/2006/relationships" ref="K233" ns231:id="rIdSaSaSource232"/>
    <x:hyperlink xmlns:ns232="http://schemas.openxmlformats.org/officeDocument/2006/relationships" ref="K234" ns232:id="rIdSaSaSource233"/>
    <x:hyperlink xmlns:ns233="http://schemas.openxmlformats.org/officeDocument/2006/relationships" ref="K235" ns233:id="rIdSaSaSource234"/>
    <x:hyperlink xmlns:ns234="http://schemas.openxmlformats.org/officeDocument/2006/relationships" ref="K236" ns234:id="rIdSaSaSource235"/>
    <x:hyperlink xmlns:ns235="http://schemas.openxmlformats.org/officeDocument/2006/relationships" ref="K237" ns235:id="rIdSaSaSource236"/>
    <x:hyperlink xmlns:ns236="http://schemas.openxmlformats.org/officeDocument/2006/relationships" ref="K238" ns236:id="rIdSaSaSource237"/>
    <x:hyperlink xmlns:ns237="http://schemas.openxmlformats.org/officeDocument/2006/relationships" ref="K239" ns237:id="rIdSaSaSource238"/>
    <x:hyperlink xmlns:ns238="http://schemas.openxmlformats.org/officeDocument/2006/relationships" ref="K240" ns238:id="rIdSaSaSource239"/>
    <x:hyperlink xmlns:ns239="http://schemas.openxmlformats.org/officeDocument/2006/relationships" ref="K241" ns239:id="rIdSaSaSource240"/>
    <x:hyperlink xmlns:ns240="http://schemas.openxmlformats.org/officeDocument/2006/relationships" ref="K242" ns240:id="rIdSaSaSource241"/>
    <x:hyperlink xmlns:ns241="http://schemas.openxmlformats.org/officeDocument/2006/relationships" ref="K243" ns241:id="rIdSaSaSource242"/>
    <x:hyperlink xmlns:ns242="http://schemas.openxmlformats.org/officeDocument/2006/relationships" ref="K244" ns242:id="rIdSaSaSource243"/>
    <x:hyperlink xmlns:ns243="http://schemas.openxmlformats.org/officeDocument/2006/relationships" ref="K245" ns243:id="rIdSaSaSource244"/>
    <x:hyperlink xmlns:ns244="http://schemas.openxmlformats.org/officeDocument/2006/relationships" ref="K246" ns244:id="rIdSaSaSource245"/>
    <x:hyperlink xmlns:ns245="http://schemas.openxmlformats.org/officeDocument/2006/relationships" ref="K247" ns245:id="rIdSaSaSource246"/>
    <x:hyperlink xmlns:ns246="http://schemas.openxmlformats.org/officeDocument/2006/relationships" ref="K248" ns246:id="rIdSaSaSource247"/>
    <x:hyperlink xmlns:ns247="http://schemas.openxmlformats.org/officeDocument/2006/relationships" ref="K249" ns247:id="rIdSaSaSource248"/>
    <x:hyperlink xmlns:ns248="http://schemas.openxmlformats.org/officeDocument/2006/relationships" ref="K250" ns248:id="rIdSaSaSource249"/>
    <x:hyperlink xmlns:ns249="http://schemas.openxmlformats.org/officeDocument/2006/relationships" ref="K251" ns249:id="rIdSaSaSource250"/>
    <x:hyperlink xmlns:ns250="http://schemas.openxmlformats.org/officeDocument/2006/relationships" ref="K252" ns250:id="rIdSaSaSource251"/>
    <x:hyperlink xmlns:ns251="http://schemas.openxmlformats.org/officeDocument/2006/relationships" ref="K253" ns251:id="rIdSaSaSource252"/>
    <x:hyperlink xmlns:ns252="http://schemas.openxmlformats.org/officeDocument/2006/relationships" ref="K254" ns252:id="rIdSaSaSource253"/>
    <x:hyperlink xmlns:ns253="http://schemas.openxmlformats.org/officeDocument/2006/relationships" ref="K255" ns253:id="rIdSaSaSource254"/>
    <x:hyperlink xmlns:ns254="http://schemas.openxmlformats.org/officeDocument/2006/relationships" ref="K256" ns254:id="rIdSaSaSource255"/>
    <x:hyperlink xmlns:ns255="http://schemas.openxmlformats.org/officeDocument/2006/relationships" ref="K257" ns255:id="rIdSaSaSource256"/>
    <x:hyperlink xmlns:ns256="http://schemas.openxmlformats.org/officeDocument/2006/relationships" ref="K258" ns256:id="rIdSaSaSource257"/>
    <x:hyperlink xmlns:ns257="http://schemas.openxmlformats.org/officeDocument/2006/relationships" ref="K259" ns257:id="rIdSaSaSource258"/>
    <x:hyperlink xmlns:ns258="http://schemas.openxmlformats.org/officeDocument/2006/relationships" ref="K260" ns258:id="rIdSaSaSource259"/>
    <x:hyperlink xmlns:ns259="http://schemas.openxmlformats.org/officeDocument/2006/relationships" ref="K261" ns259:id="rIdSaSaSource260"/>
    <x:hyperlink xmlns:ns260="http://schemas.openxmlformats.org/officeDocument/2006/relationships" ref="K262" ns260:id="rIdSaSaSource261"/>
    <x:hyperlink xmlns:ns261="http://schemas.openxmlformats.org/officeDocument/2006/relationships" ref="K263" ns261:id="rIdSaSaSource262"/>
    <x:hyperlink xmlns:ns262="http://schemas.openxmlformats.org/officeDocument/2006/relationships" ref="K264" ns262:id="rIdSaSaSource263"/>
    <x:hyperlink xmlns:ns263="http://schemas.openxmlformats.org/officeDocument/2006/relationships" ref="K265" ns263:id="rIdSaSaSource264"/>
  </x:hyperlinks>
  <x:pageMargins left="0.7" right="0.7" top="0.75" bottom="0.75" header="0.3" footer="0.3"/>
  <x:tableParts count="1">
    <x:tablePart xmlns:r="http://schemas.openxmlformats.org/officeDocument/2006/relationships" r:id="R62943ab3b44343e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35" hidden="0" customWidth="1"/>
    <x:col min="3" max="3" width="60" hidden="0" customWidth="1"/>
    <x:col min="4" max="4" width="60" hidden="0" customWidth="1"/>
    <x:col min="5" max="5" width="60" hidden="0" customWidth="1"/>
  </x:cols>
  <x:sheetData>
    <x:row r="1" ht="42" customHeight="1">
      <x:c r="A1" s="10" t="str">
        <x:v>Code</x:v>
      </x:c>
      <x:c r="B1" s="10" t="str">
        <x:v>Theme</x:v>
      </x:c>
      <x:c r="C1" s="10" t="str">
        <x:v>Definition</x:v>
      </x:c>
      <x:c r="D1" s="10" t="str">
        <x:v>Include rule</x:v>
      </x:c>
      <x:c r="E1" s="10" t="str">
        <x:v>Exclude rule</x:v>
      </x:c>
    </x:row>
    <x:row r="2" ht="52" customHeight="1">
      <x:c r="A2" s="6" t="str">
        <x:v>T1</x:v>
      </x:c>
      <x:c r="B2" s="6" t="str">
        <x:v>Character and visual effect</x:v>
      </x:c>
      <x:c r="C2" s="6" t="str">
        <x:v>Character resemblance, festive atmosphere, photographic result, or makeup-effect praise.</x:v>
      </x:c>
      <x:c r="D2" s="6" t="str">
        <x:v>Explicit character/effect statements; interpretable aesthetic praise on a makeup demonstration.</x:v>
      </x:c>
      <x:c r="E2" s="6" t="str">
        <x:v>Do not infer buying from praise. Ambiguous celebrity compliments or bare exclamations remain unclassified.</x:v>
      </x:c>
    </x:row>
    <x:row r="3" ht="66" customHeight="1">
      <x:c r="A3" s="6" t="str">
        <x:v>T2</x:v>
      </x:c>
      <x:c r="B3" s="6" t="str">
        <x:v>Tutorial use, feedback and difficulty</x:v>
      </x:c>
      <x:c r="C3" s="6" t="str">
        <x:v>Seeking, using or evaluating guidance, learning to recreate a look, effort, difficulty or preparation time.</x:v>
      </x:c>
      <x:c r="D3" s="6" t="str">
        <x:v>How-to requests; stated learning or saving a tutorial for Halloween; explicit feedback on an explanation; skill/time concerns.</x:v>
      </x:c>
      <x:c r="E3" s="6" t="str">
        <x:v>Product-name questions alone do not establish tutorial need. Enjoying an explanation does not prove learning effectiveness. Recreating a look is not buying a product.</x:v>
      </x:c>
    </x:row>
    <x:row r="4" ht="52" customHeight="1">
      <x:c r="A4" s="6" t="str">
        <x:v>T3</x:v>
      </x:c>
      <x:c r="B4" s="6" t="str">
        <x:v>Makeup items and shades</x:v>
      </x:c>
      <x:c r="C4" s="6" t="str">
        <x:v>Specific cosmetics or false lashes used in the look; product or shade information and expressed product interest.</x:v>
      </x:c>
      <x:c r="D4" s="6" t="str">
        <x:v>Lipstick, eyeliner, brow mascara and false-lash questions/interest.</x:v>
      </x:c>
      <x:c r="E4" s="6" t="str">
        <x:v>Hair, wigs, decorative contact lenses, clothing and tools are T8, with a named subtype. Questions and interest do not establish a purchase.</x:v>
      </x:c>
    </x:row>
    <x:row r="5" ht="52" customHeight="1">
      <x:c r="A5" s="6" t="str">
        <x:v>T4</x:v>
      </x:c>
      <x:c r="B5" s="6" t="str">
        <x:v>Price information and budget</x:v>
      </x:c>
      <x:c r="C5" s="6" t="str">
        <x:v>Explicit price, budget, cost comparisons or affordability.</x:v>
      </x:c>
      <x:c r="D5" s="6" t="str">
        <x:v>Neutral price enquiries and explicit price objections; distinguish makeup-service context from retail cosmetics.</x:v>
      </x:c>
      <x:c r="E5" s="6" t="str">
        <x:v>Asking the price alone is not a price barrier. No affordability level inferred without an explicit statement.</x:v>
      </x:c>
    </x:row>
    <x:row r="6" ht="52" customHeight="1">
      <x:c r="A6" s="6" t="str">
        <x:v>T5</x:v>
      </x:c>
      <x:c r="B6" s="6" t="str">
        <x:v>Single use, waste and reuse</x:v>
      </x:c>
      <x:c r="C6" s="6" t="str">
        <x:v>Frequency of use, one-off use acceptance or objection, waste and everyday versatility.</x:v>
      </x:c>
      <x:c r="D6" s="6" t="str">
        <x:v>Explicit use-frequency, waste or reuse statement.</x:v>
      </x:c>
      <x:c r="E6" s="6" t="str">
        <x:v>No inference from wanting a product; absence of coded comments is not evidence that concerns do not exist.</x:v>
      </x:c>
    </x:row>
    <x:row r="7" ht="38" customHeight="1">
      <x:c r="A7" s="6" t="str">
        <x:v>T6</x:v>
      </x:c>
      <x:c r="B7" s="6" t="str">
        <x:v>Using products already owned</x:v>
      </x:c>
      <x:c r="C7" s="6" t="str">
        <x:v>Owned cosmetics substituted for buying new products.</x:v>
      </x:c>
      <x:c r="D7" s="6" t="str">
        <x:v>Explicit existing ownership, repurposing owned makeup, or avoiding an additional purchase.</x:v>
      </x:c>
      <x:c r="E7" s="6" t="str">
        <x:v>Unspecified cheaper alternatives are not evidence of existing ownership.</x:v>
      </x:c>
    </x:row>
    <x:row r="8" ht="38" customHeight="1">
      <x:c r="A8" s="6" t="str">
        <x:v>T7</x:v>
      </x:c>
      <x:c r="B8" s="6" t="str">
        <x:v>Product/material sourcing</x:v>
      </x:c>
      <x:c r="C8" s="6" t="str">
        <x:v>Where or how to obtain products/materials, retail availability, stock or delivery.</x:v>
      </x:c>
      <x:c r="D8" s="6" t="str">
        <x:v>Explicit buying-source/link questions; retain object subtype when it is a non-cosmetic item.</x:v>
      </x:c>
      <x:c r="E8" s="6" t="str">
        <x:v>Product-name questions alone are T3; booking a makeup service is T8 service_access.</x:v>
      </x:c>
    </x:row>
    <x:row r="9" ht="52" customHeight="1">
      <x:c r="A9" s="6" t="str">
        <x:v>T8</x:v>
      </x:c>
      <x:c r="B9" s="6" t="str">
        <x:v>Other observed needs and concerns</x:v>
      </x:c>
      <x:c r="C9" s="6" t="str">
        <x:v>Named emergent themes: service access, durability, hair/accessories, tools, or contact-lens practical concerns.</x:v>
      </x:c>
      <x:c r="D9" s="6" t="str">
        <x:v>Preserve the exact subtype and supporting text; use subtypes rather than treating all T8 comments as one need.</x:v>
      </x:c>
      <x:c r="E9" s="6" t="str">
        <x:v>Unrelated advertising is excluded. Medical/performance claims in comments are unverified reports, not validated product facts.</x:v>
      </x:c>
    </x:row>
  </x:sheetData>
  <x:pageMargins left="0.7" right="0.7" top="0.75" bottom="0.75" header="0.3" footer="0.3"/>
  <x:tableParts count="1">
    <x:tablePart xmlns:r="http://schemas.openxmlformats.org/officeDocument/2006/relationships" r:id="R023827fce0ec4c2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65" hidden="0" customWidth="1"/>
    <x:col min="3" max="3" width="50" hidden="0" customWidth="1"/>
    <x:col min="4" max="4" width="60" hidden="0" customWidth="1"/>
    <x:col min="5" max="5" width="65" hidden="0" customWidth="1"/>
  </x:cols>
  <x:sheetData>
    <x:row r="1" ht="42" customHeight="1">
      <x:c r="A1" s="10" t="str">
        <x:v>Evidence ID</x:v>
      </x:c>
      <x:c r="B1" s="10" t="str">
        <x:v>Supplied summary</x:v>
      </x:c>
      <x:c r="C1" s="10" t="str">
        <x:v>Supplied verbatim quote</x:v>
      </x:c>
      <x:c r="D1" s="10" t="str">
        <x:v>Interpretation</x:v>
      </x:c>
      <x:c r="E1" s="10" t="str">
        <x:v>Boundary</x:v>
      </x:c>
    </x:row>
    <x:row r="2" ht="38" customHeight="1">
      <x:c r="A2" s="6" t="str">
        <x:v>INT01-S1</x:v>
      </x:c>
      <x:c r="B2" s="6" t="str">
        <x:v>The participant planned a Halloween character look.</x:v>
      </x:c>
      <x:c r="C2" s="6" t="str"/>
      <x:c r="D2" s="6" t="str">
        <x:v>A specific character goal gives makeup an occasion-based use context.</x:v>
      </x:c>
      <x:c r="E2" s="6" t="str">
        <x:v>One respondent, no population prevalence. User-supplied summary, n=1; interview date, age and residence unknown.</x:v>
      </x:c>
    </x:row>
    <x:row r="3" ht="52" customHeight="1">
      <x:c r="A3" s="6" t="str">
        <x:v>INT01-S2</x:v>
      </x:c>
      <x:c r="B3" s="6" t="str">
        <x:v>She shops for costumes online and searches Xiaohongshu for makeup references, then follows or adapts the look.</x:v>
      </x:c>
      <x:c r="C3" s="6" t="str"/>
      <x:c r="D3" s="6" t="str">
        <x:v>Preliminary support for inspiration and tutorials on Xiaohongshu.</x:v>
      </x:c>
      <x:c r="E3" s="6" t="str">
        <x:v>Does not establish Instagram behavior or platform reach. User-supplied summary, n=1; interview date, age and residence unknown.</x:v>
      </x:c>
    </x:row>
    <x:row r="4" ht="38" customHeight="1">
      <x:c r="A4" s="6" t="str">
        <x:v>INT01-S3</x:v>
      </x:c>
      <x:c r="B4" s="6" t="str">
        <x:v>She would buy unusual makeup for a desired look, even if it might be used once.</x:v>
      </x:c>
      <x:c r="C4" s="6" t="str"/>
      <x:c r="D4" s="6" t="str">
        <x:v>Counterexample to a blanket assumption that single-use products are unacceptable.</x:v>
      </x:c>
      <x:c r="E4" s="6" t="str">
        <x:v>Stated intention, not observed purchasing. User-supplied summary, n=1; interview date, age and residence unknown.</x:v>
      </x:c>
    </x:row>
    <x:row r="5" ht="52" customHeight="1">
      <x:c r="A5" s="6" t="str">
        <x:v>INT01-S4</x:v>
      </x:c>
      <x:c r="B5" s="6" t="str">
        <x:v>She viewed one or two additional makeup products as a small share of total festive spending and valued photographic results and atmosphere.</x:v>
      </x:c>
      <x:c r="C5" s="6" t="str"/>
      <x:c r="D5" s="6" t="str">
        <x:v>Tentative support for a limited additional-item proposition and occasion value.</x:v>
      </x:c>
      <x:c r="E5" s="6" t="str">
        <x:v>No actual amount, threshold, product performance or incremental sales verified. User-supplied summary, n=1; interview date, age and residence unknown.</x:v>
      </x:c>
    </x:row>
    <x:row r="6" ht="52" customHeight="1">
      <x:c r="A6" s="6" t="str">
        <x:v>INT01-Q1</x:v>
      </x:c>
      <x:c r="B6" s="6" t="str">
        <x:v>Makeup effect on the festival day &gt; tutorials &gt; price &gt; everyday reuse</x:v>
      </x:c>
      <x:c r="C6" s="6" t="str">
        <x:v>节日当天的妆面效果 &gt; 教程 &gt; 价格 &gt; 日常复用</x:v>
      </x:c>
      <x:c r="D6" s="6" t="str">
        <x:v>For this participant, effect and guidance outrank price and reuse.</x:v>
      </x:c>
      <x:c r="E6" s="6" t="str">
        <x:v>An individual ranking, not consumer-wide prioritization. User-supplied summary, n=1; interview date, age and residence unknown.</x:v>
      </x:c>
    </x:row>
    <x:row r="7" ht="52" customHeight="1">
      <x:c r="A7" s="6" t="str">
        <x:v>INT01-S5</x:v>
      </x:c>
      <x:c r="B7" s="6" t="str">
        <x:v>She suggested targeting cosplay makeup artists, offering paid in-store makeup services, and considering children’s makeup.</x:v>
      </x:c>
      <x:c r="C7" s="6" t="str"/>
      <x:c r="D7" s="6" t="str">
        <x:v>Ideas for future exploration, outside the current tested purchase mechanism.</x:v>
      </x:c>
      <x:c r="E7" s="6" t="str">
        <x:v>Suggestions are not verified demand; no service expansion recommended solely on this basis. User-supplied summary, n=1; interview date, age and residence unknown.</x:v>
      </x:c>
    </x:row>
  </x:sheetData>
  <x:pageMargins left="0.7" right="0.7" top="0.75" bottom="0.75" header="0.3" footer="0.3"/>
  <x:tableParts count="1">
    <x:tablePart xmlns:r="http://schemas.openxmlformats.org/officeDocument/2006/relationships" r:id="Rf000c52931fa45e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110" hidden="0" customWidth="1"/>
  </x:cols>
  <x:sheetData>
    <x:row r="1" ht="42" customHeight="1">
      <x:c r="A1" s="10" t="str">
        <x:v>Item</x:v>
      </x:c>
      <x:c r="B1" s="10" t="str">
        <x:v>Explanation</x:v>
      </x:c>
    </x:row>
    <x:row r="2" ht="38" customHeight="1">
      <x:c r="A2" s="6" t="str">
        <x:v>Scope</x:v>
      </x:c>
      <x:c r="B2" s="6" t="str">
        <x:v>2024–2026 topical material without geographic restriction; original post dates and comment dates recorded separately; unresolved dates retained as supplementary evidence.</x:v>
      </x:c>
    </x:row>
    <x:row r="3" ht="30" customHeight="1">
      <x:c r="A3" s="6" t="str">
        <x:v>Collected</x:v>
      </x:c>
      <x:c r="B3" s="6" t="str">
        <x:v>19–20 October 2026, Hong Kong time</x:v>
      </x:c>
    </x:row>
    <x:row r="4" ht="38" customHeight="1">
      <x:c r="A4" s="6" t="str">
        <x:v>Method</x:v>
      </x:c>
      <x:c r="B4" s="6" t="str">
        <x:v>Purposive accessible sample. Browser/API attempts and browser fallback. Up to 15 positions per selected post. API returned order for six XHS posts is not verified as browser order.</x:v>
      </x:c>
    </x:row>
    <x:row r="5" ht="38" customHeight="1">
      <x:c r="A5" s="6" t="str">
        <x:v>Counting</x:v>
      </x:c>
      <x:c r="B5" s="6" t="str">
        <x:v>264 retained records include 30 context replies. Valid=128; excluded=47; unclear=23; pending evidence=36; replies=30. Only valid comments enter theme counts.</x:v>
      </x:c>
    </x:row>
    <x:row r="6" ht="38" customHeight="1">
      <x:c r="A6" s="6" t="str">
        <x:v>Dates</x:v>
      </x:c>
      <x:c r="B6" s="6" t="str">
        <x:v>Post dates do not fill unknown comment dates. September–October and other-month comments remain separate labels. New Reels post dates remain unknown where the view lacked a timestamp.</x:v>
      </x:c>
    </x:row>
    <x:row r="7" ht="38" customHeight="1">
      <x:c r="A7" s="6" t="str">
        <x:v>Unknown versus zero</x:v>
      </x:c>
      <x:c r="B7" s="6" t="str">
        <x:v>Zero captured is missing evidence when access failed. Zero theme mentions means none among accepted comments, not zero market demand.</x:v>
      </x:c>
    </x:row>
    <x:row r="8" ht="52" customHeight="1">
      <x:c r="A8" s="6" t="str">
        <x:v>Deduplication</x:v>
      </x:c>
      <x:c r="B8" s="6" t="str">
        <x:v>12 XHS pilot, 7 IG API pilot, 15 IG repeat-browser and 6 IG native partial observations overlap retained samples and were not added. Distinct comment IDs remain separate; one repeated same-user XHS posting flagged for sensitivity.</x:v>
      </x:c>
    </x:row>
    <x:row r="9" ht="52" customHeight="1">
      <x:c r="A9" s="6" t="str">
        <x:v>Coding</x:v>
      </x:c>
      <x:c r="B9" s="6" t="str">
        <x:v>Codex individually read saved text; key quotes and contrary evidence checked against screenshots. No independent intercoder reliability estimate. T8 covers accessories/tools, service issues, removal and other contextual topics.</x:v>
      </x:c>
    </x:row>
    <x:row r="10" ht="30" customHeight="1">
      <x:c r="A10" s="6" t="str">
        <x:v>Price</x:v>
      </x:c>
      <x:c r="B10" s="6" t="str">
        <x:v>XHS T4 questions occur on one service post; do not label them product-price resistance.</x:v>
      </x:c>
    </x:row>
    <x:row r="11" ht="38" customHeight="1">
      <x:c r="A11" s="6" t="str">
        <x:v>Purchase</x:v>
      </x:c>
      <x:c r="B11" s="6" t="str">
        <x:v>Praise, information seeking, difficulty and recreation are not product purchase. No verified transactions.</x:v>
      </x:c>
    </x:row>
    <x:row r="12" ht="38" customHeight="1">
      <x:c r="A12" s="6" t="str">
        <x:v>Privacy</x:v>
      </x:c>
      <x:c r="B12" s="6" t="str">
        <x:v>Anonymous author identifiers are local to batches, not globally unique consumers. Raw originals may contain public @mentions; cleaned display text anonymises mentions.</x:v>
      </x:c>
    </x:row>
    <x:row r="13" ht="38" customHeight="1">
      <x:c r="A13" s="6" t="str">
        <x:v>Refresh</x:v>
      </x:c>
      <x:c r="B13" s="6" t="str">
        <x:v>Formula ranges cover this fixed dataset. Rerun the supplied builders after reviewed data changes.</x:v>
      </x:c>
    </x:row>
    <x:row r="14" ht="30" customHeight="1">
      <x:c r="A14" s="6" t="str">
        <x:v>Limitation 1</x:v>
      </x:c>
      <x:c r="B14" s="6" t="str">
        <x:v>Non-probability accessible sample; no population or causal inference.</x:v>
      </x:c>
    </x:row>
    <x:row r="15" ht="30" customHeight="1">
      <x:c r="A15" s="6" t="str">
        <x:v>Limitation 2</x:v>
      </x:c>
      <x:c r="B15" s="6" t="str">
        <x:v>36 records remain excluded from thematic denominators pending visibility/hierarchy evidence.</x:v>
      </x:c>
    </x:row>
    <x:row r="16" ht="30" customHeight="1">
      <x:c r="A16" s="6" t="str">
        <x:v>Limitation 3</x:v>
      </x:c>
      <x:c r="B16" s="6" t="str">
        <x:v>Dates of five new Reels posts unavailable; article year is discovery context only.</x:v>
      </x:c>
    </x:row>
    <x:row r="17" ht="30" customHeight="1">
      <x:c r="A17" s="6" t="str">
        <x:v>Limitation 4</x:v>
      </x:c>
      <x:c r="B17" s="6" t="str">
        <x:v>API order for six XHS posts differs methodologically from default visible browser order.</x:v>
      </x:c>
    </x:row>
    <x:row r="18" ht="38" customHeight="1">
      <x:c r="A18" s="6" t="str">
        <x:v>Limitation 5</x:v>
      </x:c>
      <x:c r="B18" s="6" t="str">
        <x:v>Unknown-date comments remain separately labelled; counts include supplementary undated observations.</x:v>
      </x:c>
    </x:row>
    <x:row r="19" ht="38" customHeight="1">
      <x:c r="A19" s="6" t="str">
        <x:v>Limitation 6</x:v>
      </x:c>
      <x:c r="B19" s="6" t="str">
        <x:v>One repeated same-user XHS posting is retained by distinct ID; sensitivity removes one valid record.</x:v>
      </x:c>
    </x:row>
    <x:row r="20" ht="38" customHeight="1">
      <x:c r="A20" s="6" t="str">
        <x:v>Limitation 7</x:v>
      </x:c>
      <x:c r="B20" s="6" t="str">
        <x:v>Comment authors may include creators or professional accounts; no claim that each valid comment is an independent consumer.</x:v>
      </x:c>
    </x:row>
  </x:sheetData>
  <x:pageMargins left="0.7" right="0.7" top="0.75" bottom="0.75" header="0.3" footer="0.3"/>
  <x:tableParts count="1">
    <x:tablePart xmlns:r="http://schemas.openxmlformats.org/officeDocument/2006/relationships" r:id="R7fd3babae91e4843"/>
  </x:tableParts>
</x:worksheet>
</file>